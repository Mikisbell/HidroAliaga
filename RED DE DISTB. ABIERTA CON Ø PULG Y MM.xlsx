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79001FD0-8648-4344-A687-A0E286DF86C3}" xr6:coauthVersionLast="47" xr6:coauthVersionMax="47" xr10:uidLastSave="{00000000-0000-0000-0000-000000000000}"/>
  <bookViews>
    <workbookView xWindow="-108" yWindow="-108" windowWidth="23256" windowHeight="13176" tabRatio="842" activeTab="1" xr2:uid="{00000000-000D-0000-FFFF-FFFF00000000}"/>
  </bookViews>
  <sheets>
    <sheet name="Verifica red EN PULG " sheetId="16" r:id="rId1"/>
    <sheet name="EJEMPLO 01 EN MM" sheetId="10" r:id="rId2"/>
    <sheet name="EJEMPLO 01 desarrol" sheetId="15" r:id="rId3"/>
  </sheets>
  <definedNames>
    <definedName name="_xlnm.Print_Area" localSheetId="2">'EJEMPLO 01 desarrol'!$A$1:$S$37</definedName>
    <definedName name="_xlnm.Print_Area" localSheetId="1">'EJEMPLO 01 EN MM'!$A$1:$S$37</definedName>
    <definedName name="_xlnm.Print_Area" localSheetId="0">'Verifica red EN PULG '!$A$1:$M$111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0" l="1"/>
  <c r="R15" i="10"/>
  <c r="Q16" i="10"/>
  <c r="Q17" i="10"/>
  <c r="O14" i="15"/>
  <c r="M14" i="15"/>
  <c r="N14" i="15"/>
  <c r="M13" i="15"/>
  <c r="I24" i="15"/>
  <c r="J24" i="15" s="1"/>
  <c r="I23" i="15"/>
  <c r="I22" i="15"/>
  <c r="I21" i="15"/>
  <c r="I20" i="15"/>
  <c r="J20" i="15" s="1"/>
  <c r="I19" i="15"/>
  <c r="I18" i="15"/>
  <c r="I17" i="15"/>
  <c r="I16" i="15"/>
  <c r="J16" i="15" s="1"/>
  <c r="I15" i="15"/>
  <c r="J15" i="15" s="1"/>
  <c r="I14" i="15"/>
  <c r="J14" i="15" s="1"/>
  <c r="J18" i="15"/>
  <c r="J17" i="15"/>
  <c r="I13" i="15"/>
  <c r="J23" i="15"/>
  <c r="J22" i="15"/>
  <c r="J21" i="15"/>
  <c r="J19" i="15"/>
  <c r="J13" i="15"/>
  <c r="S13" i="15"/>
  <c r="P13" i="15"/>
  <c r="R13" i="15" s="1"/>
  <c r="O13" i="15"/>
  <c r="N13" i="15"/>
  <c r="G13" i="15"/>
  <c r="G14" i="15"/>
  <c r="G15" i="15"/>
  <c r="G16" i="15"/>
  <c r="G17" i="15"/>
  <c r="G18" i="15"/>
  <c r="G19" i="15"/>
  <c r="G20" i="15"/>
  <c r="G21" i="15"/>
  <c r="G22" i="15"/>
  <c r="G23" i="15"/>
  <c r="F19" i="15"/>
  <c r="G24" i="15"/>
  <c r="I8" i="15"/>
  <c r="F24" i="15"/>
  <c r="F14" i="15"/>
  <c r="F15" i="15"/>
  <c r="F16" i="15"/>
  <c r="F17" i="15"/>
  <c r="F18" i="15"/>
  <c r="F20" i="15"/>
  <c r="F21" i="15"/>
  <c r="F22" i="15"/>
  <c r="F23" i="15"/>
  <c r="F13" i="15"/>
  <c r="E24" i="15"/>
  <c r="E23" i="15"/>
  <c r="C23" i="15"/>
  <c r="C24" i="15" s="1"/>
  <c r="E22" i="15"/>
  <c r="C22" i="15"/>
  <c r="C20" i="15"/>
  <c r="C21" i="15" s="1"/>
  <c r="E19" i="15"/>
  <c r="C15" i="15"/>
  <c r="C14" i="15"/>
  <c r="C19" i="15" s="1"/>
  <c r="E25" i="10"/>
  <c r="I16" i="10"/>
  <c r="Q13" i="15" l="1"/>
  <c r="R10" i="15"/>
  <c r="L13" i="10" l="1"/>
  <c r="M57" i="16"/>
  <c r="F58" i="16" s="1"/>
  <c r="T66" i="16"/>
  <c r="C66" i="16"/>
  <c r="C65" i="16"/>
  <c r="C63" i="16"/>
  <c r="C61" i="16"/>
  <c r="C60" i="16"/>
  <c r="N62" i="16"/>
  <c r="C59" i="16"/>
  <c r="M59" i="16" s="1"/>
  <c r="F60" i="16" s="1"/>
  <c r="C58" i="16"/>
  <c r="C57" i="16"/>
  <c r="C54" i="16"/>
  <c r="K54" i="16" s="1"/>
  <c r="M54" i="16" s="1"/>
  <c r="N111" i="16"/>
  <c r="N110" i="16"/>
  <c r="N109" i="16"/>
  <c r="N108" i="16"/>
  <c r="N107" i="16"/>
  <c r="K107" i="16"/>
  <c r="N106" i="16"/>
  <c r="K106" i="16"/>
  <c r="N105" i="16"/>
  <c r="K105" i="16"/>
  <c r="N104" i="16"/>
  <c r="N103" i="16"/>
  <c r="I103" i="16"/>
  <c r="N102" i="16"/>
  <c r="J102" i="16"/>
  <c r="I102" i="16"/>
  <c r="N101" i="16"/>
  <c r="J101" i="16"/>
  <c r="I101" i="16"/>
  <c r="N100" i="16"/>
  <c r="J100" i="16"/>
  <c r="I100" i="16"/>
  <c r="N99" i="16"/>
  <c r="J99" i="16"/>
  <c r="I99" i="16"/>
  <c r="N98" i="16"/>
  <c r="J98" i="16"/>
  <c r="I98" i="16"/>
  <c r="N97" i="16"/>
  <c r="J97" i="16"/>
  <c r="I97" i="16"/>
  <c r="N96" i="16"/>
  <c r="J96" i="16"/>
  <c r="I96" i="16"/>
  <c r="N95" i="16"/>
  <c r="J95" i="16"/>
  <c r="I95" i="16"/>
  <c r="N94" i="16"/>
  <c r="J94" i="16"/>
  <c r="I94" i="16"/>
  <c r="N93" i="16"/>
  <c r="J93" i="16"/>
  <c r="I93" i="16"/>
  <c r="N92" i="16"/>
  <c r="J92" i="16"/>
  <c r="I92" i="16"/>
  <c r="N91" i="16"/>
  <c r="J91" i="16"/>
  <c r="I91" i="16"/>
  <c r="N90" i="16"/>
  <c r="J90" i="16"/>
  <c r="I90" i="16"/>
  <c r="N89" i="16"/>
  <c r="J89" i="16"/>
  <c r="I89" i="16"/>
  <c r="N88" i="16"/>
  <c r="J88" i="16"/>
  <c r="I88" i="16"/>
  <c r="N87" i="16"/>
  <c r="J87" i="16"/>
  <c r="I87" i="16"/>
  <c r="N86" i="16"/>
  <c r="J86" i="16"/>
  <c r="I86" i="16"/>
  <c r="N85" i="16"/>
  <c r="J85" i="16"/>
  <c r="I85" i="16"/>
  <c r="N84" i="16"/>
  <c r="J84" i="16"/>
  <c r="I84" i="16"/>
  <c r="N83" i="16"/>
  <c r="J83" i="16"/>
  <c r="I83" i="16"/>
  <c r="N82" i="16"/>
  <c r="J82" i="16"/>
  <c r="I82" i="16"/>
  <c r="N81" i="16"/>
  <c r="J81" i="16"/>
  <c r="I81" i="16"/>
  <c r="N80" i="16"/>
  <c r="J80" i="16"/>
  <c r="I80" i="16"/>
  <c r="N79" i="16"/>
  <c r="J79" i="16"/>
  <c r="I79" i="16"/>
  <c r="N78" i="16"/>
  <c r="J78" i="16"/>
  <c r="I78" i="16"/>
  <c r="N77" i="16"/>
  <c r="J77" i="16"/>
  <c r="I77" i="16"/>
  <c r="N76" i="16"/>
  <c r="J76" i="16"/>
  <c r="I76" i="16"/>
  <c r="N75" i="16"/>
  <c r="J75" i="16"/>
  <c r="I75" i="16"/>
  <c r="N74" i="16"/>
  <c r="J74" i="16"/>
  <c r="I74" i="16"/>
  <c r="N73" i="16"/>
  <c r="J73" i="16"/>
  <c r="I73" i="16"/>
  <c r="N72" i="16"/>
  <c r="J72" i="16"/>
  <c r="I72" i="16"/>
  <c r="N71" i="16"/>
  <c r="J71" i="16"/>
  <c r="I71" i="16"/>
  <c r="N70" i="16"/>
  <c r="J70" i="16"/>
  <c r="M70" i="16" s="1"/>
  <c r="I70" i="16"/>
  <c r="F70" i="16"/>
  <c r="G70" i="16" s="1"/>
  <c r="N69" i="16"/>
  <c r="J69" i="16"/>
  <c r="K69" i="16" s="1"/>
  <c r="L69" i="16" s="1"/>
  <c r="I69" i="16"/>
  <c r="G69" i="16"/>
  <c r="F69" i="16"/>
  <c r="N68" i="16"/>
  <c r="K68" i="16"/>
  <c r="L68" i="16" s="1"/>
  <c r="J68" i="16"/>
  <c r="I68" i="16"/>
  <c r="F68" i="16"/>
  <c r="G68" i="16" s="1"/>
  <c r="N67" i="16"/>
  <c r="J67" i="16"/>
  <c r="K67" i="16" s="1"/>
  <c r="L67" i="16" s="1"/>
  <c r="I67" i="16"/>
  <c r="F67" i="16"/>
  <c r="G67" i="16" s="1"/>
  <c r="S66" i="16"/>
  <c r="R66" i="16"/>
  <c r="P66" i="16"/>
  <c r="N66" i="16"/>
  <c r="T65" i="16"/>
  <c r="S65" i="16"/>
  <c r="R65" i="16"/>
  <c r="P65" i="16"/>
  <c r="N65" i="16"/>
  <c r="T64" i="16"/>
  <c r="S64" i="16"/>
  <c r="R64" i="16"/>
  <c r="P64" i="16"/>
  <c r="N64" i="16"/>
  <c r="T63" i="16"/>
  <c r="R63" i="16"/>
  <c r="P63" i="16"/>
  <c r="N63" i="16"/>
  <c r="S63" i="16"/>
  <c r="T61" i="16"/>
  <c r="S61" i="16"/>
  <c r="R61" i="16"/>
  <c r="N61" i="16"/>
  <c r="T60" i="16"/>
  <c r="S60" i="16"/>
  <c r="R60" i="16"/>
  <c r="T59" i="16"/>
  <c r="S59" i="16"/>
  <c r="R59" i="16"/>
  <c r="N59" i="16"/>
  <c r="T58" i="16"/>
  <c r="S58" i="16"/>
  <c r="R58" i="16"/>
  <c r="N58" i="16"/>
  <c r="T57" i="16"/>
  <c r="S57" i="16"/>
  <c r="R57" i="16"/>
  <c r="P57" i="16"/>
  <c r="N57" i="16"/>
  <c r="T56" i="16"/>
  <c r="S56" i="16"/>
  <c r="R56" i="16"/>
  <c r="P56" i="16"/>
  <c r="N56" i="16"/>
  <c r="T55" i="16"/>
  <c r="S55" i="16"/>
  <c r="R55" i="16"/>
  <c r="P55" i="16"/>
  <c r="N55" i="16"/>
  <c r="N54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K34" i="16"/>
  <c r="L34" i="16" s="1"/>
  <c r="F34" i="16"/>
  <c r="K33" i="16"/>
  <c r="O27" i="16"/>
  <c r="J24" i="16"/>
  <c r="M22" i="16"/>
  <c r="I12" i="16"/>
  <c r="I16" i="16" s="1"/>
  <c r="I28" i="16" s="1"/>
  <c r="I18" i="10"/>
  <c r="M71" i="16" l="1"/>
  <c r="I24" i="16"/>
  <c r="I26" i="16" s="1"/>
  <c r="J26" i="16" s="1"/>
  <c r="K72" i="16"/>
  <c r="L72" i="16" s="1"/>
  <c r="K71" i="16"/>
  <c r="L71" i="16" s="1"/>
  <c r="F71" i="16"/>
  <c r="G71" i="16" s="1"/>
  <c r="I18" i="16"/>
  <c r="L54" i="16"/>
  <c r="D103" i="16"/>
  <c r="J103" i="16" s="1"/>
  <c r="M72" i="16"/>
  <c r="F72" i="16"/>
  <c r="G72" i="16" s="1"/>
  <c r="K70" i="16"/>
  <c r="L70" i="16" s="1"/>
  <c r="M26" i="16" l="1"/>
  <c r="E42" i="16"/>
  <c r="E38" i="16"/>
  <c r="E34" i="16"/>
  <c r="E46" i="16"/>
  <c r="E43" i="16"/>
  <c r="E39" i="16"/>
  <c r="E35" i="16"/>
  <c r="E44" i="16"/>
  <c r="E40" i="16"/>
  <c r="E36" i="16"/>
  <c r="J18" i="16"/>
  <c r="E45" i="16"/>
  <c r="E41" i="16"/>
  <c r="E37" i="16"/>
  <c r="M73" i="16"/>
  <c r="F73" i="16"/>
  <c r="G73" i="16" s="1"/>
  <c r="K73" i="16"/>
  <c r="L73" i="16" s="1"/>
  <c r="G44" i="16" l="1"/>
  <c r="J44" i="16"/>
  <c r="K44" i="16" s="1"/>
  <c r="L44" i="16" s="1"/>
  <c r="I44" i="16"/>
  <c r="J35" i="16"/>
  <c r="K35" i="16" s="1"/>
  <c r="L35" i="16" s="1"/>
  <c r="I35" i="16"/>
  <c r="G35" i="16"/>
  <c r="J34" i="16"/>
  <c r="I34" i="16"/>
  <c r="G34" i="16"/>
  <c r="I45" i="16"/>
  <c r="G45" i="16"/>
  <c r="J45" i="16"/>
  <c r="K45" i="16" s="1"/>
  <c r="L45" i="16" s="1"/>
  <c r="G46" i="16"/>
  <c r="J46" i="16"/>
  <c r="K46" i="16" s="1"/>
  <c r="L46" i="16" s="1"/>
  <c r="I46" i="16"/>
  <c r="I37" i="16"/>
  <c r="G37" i="16"/>
  <c r="J37" i="16"/>
  <c r="K37" i="16" s="1"/>
  <c r="L37" i="16" s="1"/>
  <c r="G36" i="16"/>
  <c r="J36" i="16"/>
  <c r="K36" i="16" s="1"/>
  <c r="L36" i="16" s="1"/>
  <c r="I36" i="16"/>
  <c r="J39" i="16"/>
  <c r="K39" i="16" s="1"/>
  <c r="L39" i="16" s="1"/>
  <c r="I39" i="16"/>
  <c r="G39" i="16"/>
  <c r="J38" i="16"/>
  <c r="K38" i="16" s="1"/>
  <c r="L38" i="16" s="1"/>
  <c r="I38" i="16"/>
  <c r="G38" i="16"/>
  <c r="M74" i="16"/>
  <c r="K74" i="16"/>
  <c r="L74" i="16" s="1"/>
  <c r="F74" i="16"/>
  <c r="G74" i="16" s="1"/>
  <c r="I41" i="16"/>
  <c r="G41" i="16"/>
  <c r="J41" i="16"/>
  <c r="K41" i="16" s="1"/>
  <c r="L41" i="16" s="1"/>
  <c r="G40" i="16"/>
  <c r="J40" i="16"/>
  <c r="K40" i="16" s="1"/>
  <c r="L40" i="16" s="1"/>
  <c r="I40" i="16"/>
  <c r="J43" i="16"/>
  <c r="K43" i="16" s="1"/>
  <c r="L43" i="16" s="1"/>
  <c r="I43" i="16"/>
  <c r="G43" i="16"/>
  <c r="J42" i="16"/>
  <c r="K42" i="16" s="1"/>
  <c r="L42" i="16" s="1"/>
  <c r="I42" i="16"/>
  <c r="G42" i="16"/>
  <c r="M75" i="16" l="1"/>
  <c r="F75" i="16"/>
  <c r="G75" i="16" s="1"/>
  <c r="K75" i="16"/>
  <c r="L75" i="16" s="1"/>
  <c r="M76" i="16" l="1"/>
  <c r="F76" i="16"/>
  <c r="G76" i="16" s="1"/>
  <c r="K76" i="16"/>
  <c r="L76" i="16" s="1"/>
  <c r="M77" i="16" l="1"/>
  <c r="F77" i="16"/>
  <c r="G77" i="16" s="1"/>
  <c r="K77" i="16"/>
  <c r="L77" i="16" s="1"/>
  <c r="M78" i="16" l="1"/>
  <c r="K78" i="16"/>
  <c r="L78" i="16" s="1"/>
  <c r="F78" i="16"/>
  <c r="G78" i="16" s="1"/>
  <c r="M79" i="16" l="1"/>
  <c r="F79" i="16"/>
  <c r="G79" i="16" s="1"/>
  <c r="K79" i="16"/>
  <c r="L79" i="16" s="1"/>
  <c r="M80" i="16" l="1"/>
  <c r="F80" i="16"/>
  <c r="G80" i="16" s="1"/>
  <c r="K80" i="16"/>
  <c r="L80" i="16" s="1"/>
  <c r="M81" i="16" l="1"/>
  <c r="F81" i="16"/>
  <c r="G81" i="16" s="1"/>
  <c r="K81" i="16"/>
  <c r="L81" i="16" s="1"/>
  <c r="M82" i="16" l="1"/>
  <c r="K82" i="16"/>
  <c r="L82" i="16" s="1"/>
  <c r="F82" i="16"/>
  <c r="G82" i="16" s="1"/>
  <c r="M83" i="16" l="1"/>
  <c r="F83" i="16"/>
  <c r="G83" i="16" s="1"/>
  <c r="K83" i="16"/>
  <c r="L83" i="16" s="1"/>
  <c r="M84" i="16" l="1"/>
  <c r="F84" i="16"/>
  <c r="G84" i="16" s="1"/>
  <c r="K84" i="16"/>
  <c r="L84" i="16" s="1"/>
  <c r="M85" i="16" l="1"/>
  <c r="F85" i="16"/>
  <c r="G85" i="16" s="1"/>
  <c r="K85" i="16"/>
  <c r="L85" i="16" s="1"/>
  <c r="M86" i="16" l="1"/>
  <c r="K86" i="16"/>
  <c r="L86" i="16" s="1"/>
  <c r="F86" i="16"/>
  <c r="G86" i="16" s="1"/>
  <c r="M87" i="16" l="1"/>
  <c r="F87" i="16"/>
  <c r="G87" i="16" s="1"/>
  <c r="K87" i="16"/>
  <c r="L87" i="16" s="1"/>
  <c r="M88" i="16" l="1"/>
  <c r="F88" i="16"/>
  <c r="G88" i="16" s="1"/>
  <c r="K88" i="16"/>
  <c r="L88" i="16" s="1"/>
  <c r="M89" i="16" l="1"/>
  <c r="F89" i="16"/>
  <c r="G89" i="16" s="1"/>
  <c r="K89" i="16"/>
  <c r="L89" i="16" s="1"/>
  <c r="M90" i="16" l="1"/>
  <c r="K90" i="16"/>
  <c r="L90" i="16" s="1"/>
  <c r="F90" i="16"/>
  <c r="G90" i="16" s="1"/>
  <c r="M91" i="16" l="1"/>
  <c r="F91" i="16"/>
  <c r="G91" i="16" s="1"/>
  <c r="K91" i="16"/>
  <c r="L91" i="16" s="1"/>
  <c r="M92" i="16" l="1"/>
  <c r="F92" i="16"/>
  <c r="G92" i="16" s="1"/>
  <c r="K92" i="16"/>
  <c r="L92" i="16" s="1"/>
  <c r="M93" i="16" l="1"/>
  <c r="F93" i="16"/>
  <c r="G93" i="16" s="1"/>
  <c r="K93" i="16"/>
  <c r="L93" i="16" s="1"/>
  <c r="M94" i="16" l="1"/>
  <c r="K94" i="16"/>
  <c r="L94" i="16" s="1"/>
  <c r="F94" i="16"/>
  <c r="G94" i="16" s="1"/>
  <c r="M95" i="16" l="1"/>
  <c r="F95" i="16"/>
  <c r="G95" i="16" s="1"/>
  <c r="K95" i="16"/>
  <c r="L95" i="16" s="1"/>
  <c r="M96" i="16" l="1"/>
  <c r="F96" i="16"/>
  <c r="G96" i="16" s="1"/>
  <c r="K96" i="16"/>
  <c r="L96" i="16" s="1"/>
  <c r="M97" i="16" l="1"/>
  <c r="F97" i="16"/>
  <c r="G97" i="16" s="1"/>
  <c r="K97" i="16"/>
  <c r="L97" i="16" s="1"/>
  <c r="M98" i="16" l="1"/>
  <c r="K98" i="16"/>
  <c r="L98" i="16" s="1"/>
  <c r="F98" i="16"/>
  <c r="G98" i="16" s="1"/>
  <c r="M99" i="16" l="1"/>
  <c r="F99" i="16"/>
  <c r="G99" i="16" s="1"/>
  <c r="K99" i="16"/>
  <c r="L99" i="16" s="1"/>
  <c r="M100" i="16" l="1"/>
  <c r="F100" i="16"/>
  <c r="G100" i="16" s="1"/>
  <c r="K100" i="16"/>
  <c r="L100" i="16" s="1"/>
  <c r="M101" i="16" l="1"/>
  <c r="F101" i="16"/>
  <c r="G101" i="16" s="1"/>
  <c r="K101" i="16"/>
  <c r="L101" i="16" s="1"/>
  <c r="M102" i="16" l="1"/>
  <c r="K102" i="16"/>
  <c r="L102" i="16" s="1"/>
  <c r="F102" i="16"/>
  <c r="G102" i="16" s="1"/>
  <c r="M103" i="16" l="1"/>
  <c r="K103" i="16"/>
  <c r="L103" i="16" s="1"/>
  <c r="F103" i="16"/>
  <c r="G103" i="16" s="1"/>
  <c r="AF49" i="15" l="1"/>
  <c r="AE49" i="15"/>
  <c r="AD49" i="15"/>
  <c r="AC49" i="15"/>
  <c r="AF48" i="15"/>
  <c r="AE48" i="15"/>
  <c r="AD48" i="15"/>
  <c r="AC48" i="15"/>
  <c r="AF47" i="15"/>
  <c r="AE47" i="15"/>
  <c r="AD47" i="15"/>
  <c r="AC47" i="15"/>
  <c r="AF46" i="15"/>
  <c r="AE46" i="15"/>
  <c r="AD46" i="15"/>
  <c r="AC46" i="15"/>
  <c r="AF45" i="15"/>
  <c r="AE45" i="15"/>
  <c r="AD45" i="15"/>
  <c r="AC45" i="15"/>
  <c r="AF44" i="15"/>
  <c r="AE44" i="15"/>
  <c r="AD44" i="15"/>
  <c r="AC44" i="15"/>
  <c r="AF43" i="15"/>
  <c r="AE43" i="15"/>
  <c r="AD43" i="15"/>
  <c r="AC43" i="15"/>
  <c r="AF42" i="15"/>
  <c r="AE42" i="15"/>
  <c r="AD42" i="15"/>
  <c r="AC42" i="15"/>
  <c r="AF41" i="15"/>
  <c r="AE41" i="15"/>
  <c r="AD41" i="15"/>
  <c r="AC41" i="15"/>
  <c r="AF40" i="15"/>
  <c r="AE40" i="15"/>
  <c r="AD40" i="15"/>
  <c r="AC40" i="15"/>
  <c r="AF39" i="15"/>
  <c r="AE39" i="15"/>
  <c r="AD39" i="15"/>
  <c r="AC39" i="15"/>
  <c r="AF38" i="15"/>
  <c r="AE38" i="15"/>
  <c r="AD38" i="15"/>
  <c r="AC38" i="15"/>
  <c r="AF37" i="15"/>
  <c r="AA51" i="15" s="1"/>
  <c r="AA52" i="15" s="1"/>
  <c r="AE37" i="15"/>
  <c r="Z51" i="15" s="1"/>
  <c r="Z52" i="15" s="1"/>
  <c r="AD37" i="15"/>
  <c r="Y51" i="15" s="1"/>
  <c r="Y52" i="15" s="1"/>
  <c r="AC37" i="15"/>
  <c r="X51" i="15" s="1"/>
  <c r="X52" i="15" s="1"/>
  <c r="Q7" i="15"/>
  <c r="Q6" i="15"/>
  <c r="T5" i="15"/>
  <c r="P18" i="10" l="1"/>
  <c r="R18" i="10" s="1"/>
  <c r="P16" i="10"/>
  <c r="L17" i="10"/>
  <c r="L16" i="10"/>
  <c r="L15" i="10"/>
  <c r="F21" i="10"/>
  <c r="F17" i="10"/>
  <c r="F13" i="10"/>
  <c r="C15" i="10"/>
  <c r="C56" i="16" s="1"/>
  <c r="P13" i="10"/>
  <c r="R13" i="10" s="1"/>
  <c r="L24" i="10"/>
  <c r="L23" i="10"/>
  <c r="L22" i="10"/>
  <c r="L21" i="10"/>
  <c r="L20" i="10"/>
  <c r="L19" i="10"/>
  <c r="L18" i="10"/>
  <c r="L14" i="10"/>
  <c r="I13" i="10"/>
  <c r="C23" i="10"/>
  <c r="C22" i="10"/>
  <c r="C62" i="16" s="1"/>
  <c r="M62" i="16" s="1"/>
  <c r="C20" i="10"/>
  <c r="C14" i="10"/>
  <c r="C55" i="16" s="1"/>
  <c r="F55" i="16" s="1"/>
  <c r="E22" i="10"/>
  <c r="F22" i="10" s="1"/>
  <c r="E23" i="10"/>
  <c r="F23" i="10" s="1"/>
  <c r="E24" i="10"/>
  <c r="E19" i="10"/>
  <c r="F19" i="10" s="1"/>
  <c r="Q6" i="10"/>
  <c r="Q7" i="10"/>
  <c r="I8" i="10" s="1"/>
  <c r="F20" i="10" s="1"/>
  <c r="T5" i="10"/>
  <c r="F14" i="10" l="1"/>
  <c r="C24" i="10"/>
  <c r="C64" i="16"/>
  <c r="F18" i="10"/>
  <c r="G17" i="10" s="1"/>
  <c r="F15" i="10"/>
  <c r="F16" i="10"/>
  <c r="I22" i="10"/>
  <c r="P22" i="10"/>
  <c r="R22" i="10" s="1"/>
  <c r="C21" i="10"/>
  <c r="C19" i="10"/>
  <c r="G20" i="10"/>
  <c r="F24" i="10"/>
  <c r="G23" i="10"/>
  <c r="N17" i="10" l="1"/>
  <c r="O17" i="10" s="1"/>
  <c r="E59" i="16"/>
  <c r="M17" i="10"/>
  <c r="G15" i="10"/>
  <c r="G16" i="10"/>
  <c r="G18" i="10"/>
  <c r="F64" i="16"/>
  <c r="N20" i="10"/>
  <c r="E63" i="16"/>
  <c r="N23" i="10"/>
  <c r="O23" i="10" s="1"/>
  <c r="E65" i="16"/>
  <c r="M18" i="10"/>
  <c r="M23" i="10"/>
  <c r="M20" i="10"/>
  <c r="O20" i="10"/>
  <c r="J18" i="10"/>
  <c r="G24" i="10"/>
  <c r="G22" i="10"/>
  <c r="E66" i="16" l="1"/>
  <c r="N24" i="10"/>
  <c r="J63" i="16"/>
  <c r="I63" i="16"/>
  <c r="E60" i="16"/>
  <c r="N18" i="10"/>
  <c r="O18" i="10" s="1"/>
  <c r="Q18" i="10" s="1"/>
  <c r="S18" i="10" s="1"/>
  <c r="N15" i="10"/>
  <c r="O15" i="10" s="1"/>
  <c r="E57" i="16"/>
  <c r="M15" i="10"/>
  <c r="G14" i="10"/>
  <c r="E64" i="16"/>
  <c r="N22" i="10"/>
  <c r="O22" i="10" s="1"/>
  <c r="Q22" i="10" s="1"/>
  <c r="E58" i="16"/>
  <c r="N16" i="10"/>
  <c r="O16" i="10" s="1"/>
  <c r="S16" i="10" s="1"/>
  <c r="M16" i="10"/>
  <c r="I59" i="16"/>
  <c r="J59" i="16"/>
  <c r="J65" i="16"/>
  <c r="I65" i="16"/>
  <c r="M24" i="10"/>
  <c r="O24" i="10"/>
  <c r="M22" i="10"/>
  <c r="G21" i="10"/>
  <c r="J57" i="16" l="1"/>
  <c r="I57" i="16"/>
  <c r="I64" i="16"/>
  <c r="J64" i="16"/>
  <c r="E56" i="16"/>
  <c r="N14" i="10"/>
  <c r="O14" i="10" s="1"/>
  <c r="N21" i="10"/>
  <c r="O21" i="10" s="1"/>
  <c r="E62" i="16"/>
  <c r="J58" i="16"/>
  <c r="I58" i="16"/>
  <c r="G58" i="16"/>
  <c r="M14" i="10"/>
  <c r="G64" i="16"/>
  <c r="I60" i="16"/>
  <c r="G60" i="16"/>
  <c r="J60" i="16"/>
  <c r="J66" i="16"/>
  <c r="I66" i="16"/>
  <c r="S22" i="10"/>
  <c r="P23" i="10"/>
  <c r="M21" i="10"/>
  <c r="G19" i="10"/>
  <c r="M58" i="16" l="1"/>
  <c r="K58" i="16"/>
  <c r="L58" i="16" s="1"/>
  <c r="K60" i="16"/>
  <c r="L60" i="16" s="1"/>
  <c r="M60" i="16"/>
  <c r="I56" i="16"/>
  <c r="J56" i="16"/>
  <c r="N19" i="10"/>
  <c r="E61" i="16"/>
  <c r="J62" i="16"/>
  <c r="I62" i="16"/>
  <c r="K64" i="16"/>
  <c r="L64" i="16" s="1"/>
  <c r="M64" i="16"/>
  <c r="R23" i="10"/>
  <c r="R24" i="10" s="1"/>
  <c r="I24" i="10"/>
  <c r="J24" i="10" s="1"/>
  <c r="I23" i="10"/>
  <c r="J23" i="10" s="1"/>
  <c r="P24" i="10"/>
  <c r="Q24" i="10" s="1"/>
  <c r="S24" i="10" s="1"/>
  <c r="Q23" i="10"/>
  <c r="S23" i="10" s="1"/>
  <c r="M19" i="10"/>
  <c r="O19" i="10"/>
  <c r="G13" i="10"/>
  <c r="M13" i="10" l="1"/>
  <c r="N13" i="10"/>
  <c r="E55" i="16"/>
  <c r="F65" i="16"/>
  <c r="G65" i="16" s="1"/>
  <c r="K65" i="16"/>
  <c r="L65" i="16" s="1"/>
  <c r="F66" i="16"/>
  <c r="G66" i="16" s="1"/>
  <c r="M65" i="16"/>
  <c r="J61" i="16"/>
  <c r="I61" i="16"/>
  <c r="O13" i="10"/>
  <c r="Q13" i="10" s="1"/>
  <c r="P19" i="10" s="1"/>
  <c r="Q19" i="10" s="1"/>
  <c r="J13" i="10"/>
  <c r="M66" i="16" l="1"/>
  <c r="K66" i="16"/>
  <c r="L66" i="16" s="1"/>
  <c r="J55" i="16"/>
  <c r="I55" i="16"/>
  <c r="G55" i="16"/>
  <c r="P20" i="10"/>
  <c r="S19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D37" i="10"/>
  <c r="AE37" i="10"/>
  <c r="AC38" i="10"/>
  <c r="AD38" i="10"/>
  <c r="AE38" i="10"/>
  <c r="AC39" i="10"/>
  <c r="AD39" i="10"/>
  <c r="AE39" i="10"/>
  <c r="AC40" i="10"/>
  <c r="AD40" i="10"/>
  <c r="AE40" i="10"/>
  <c r="AC41" i="10"/>
  <c r="AD41" i="10"/>
  <c r="AE41" i="10"/>
  <c r="AC42" i="10"/>
  <c r="AD42" i="10"/>
  <c r="AE42" i="10"/>
  <c r="AC43" i="10"/>
  <c r="AD43" i="10"/>
  <c r="AE43" i="10"/>
  <c r="AC44" i="10"/>
  <c r="AD44" i="10"/>
  <c r="AE44" i="10"/>
  <c r="AC45" i="10"/>
  <c r="AD45" i="10"/>
  <c r="AE45" i="10"/>
  <c r="AC46" i="10"/>
  <c r="AD46" i="10"/>
  <c r="AE46" i="10"/>
  <c r="AC47" i="10"/>
  <c r="AD47" i="10"/>
  <c r="AE47" i="10"/>
  <c r="AC48" i="10"/>
  <c r="AD48" i="10"/>
  <c r="AE48" i="10"/>
  <c r="AC49" i="10"/>
  <c r="AD49" i="10"/>
  <c r="AE49" i="10"/>
  <c r="M55" i="16" l="1"/>
  <c r="K55" i="16"/>
  <c r="L55" i="16" s="1"/>
  <c r="R20" i="10"/>
  <c r="R21" i="10" s="1"/>
  <c r="I20" i="10"/>
  <c r="J20" i="10" s="1"/>
  <c r="I21" i="10"/>
  <c r="J21" i="10" s="1"/>
  <c r="P21" i="10"/>
  <c r="Q21" i="10" s="1"/>
  <c r="Q20" i="10"/>
  <c r="S20" i="10" s="1"/>
  <c r="AA51" i="10"/>
  <c r="AA52" i="10" s="1"/>
  <c r="Y51" i="10"/>
  <c r="Y52" i="10" s="1"/>
  <c r="Z51" i="10"/>
  <c r="Z52" i="10" s="1"/>
  <c r="F61" i="16" l="1"/>
  <c r="G61" i="16" s="1"/>
  <c r="M56" i="16"/>
  <c r="M61" i="16"/>
  <c r="K61" i="16"/>
  <c r="L61" i="16" s="1"/>
  <c r="F56" i="16"/>
  <c r="G56" i="16" s="1"/>
  <c r="K56" i="16"/>
  <c r="L56" i="16" s="1"/>
  <c r="S21" i="10"/>
  <c r="J22" i="10"/>
  <c r="AC37" i="10"/>
  <c r="X51" i="10" s="1"/>
  <c r="X52" i="10" s="1"/>
  <c r="F63" i="16" l="1"/>
  <c r="G63" i="16" s="1"/>
  <c r="F62" i="16"/>
  <c r="G62" i="16" s="1"/>
  <c r="M63" i="16"/>
  <c r="K62" i="16"/>
  <c r="L62" i="16" s="1"/>
  <c r="K63" i="16"/>
  <c r="L63" i="16" s="1"/>
  <c r="K59" i="16"/>
  <c r="L59" i="16" s="1"/>
  <c r="F59" i="16"/>
  <c r="G59" i="16" s="1"/>
  <c r="K57" i="16"/>
  <c r="L57" i="16" s="1"/>
  <c r="F57" i="16"/>
  <c r="G57" i="16" s="1"/>
  <c r="S13" i="10"/>
  <c r="P14" i="10"/>
  <c r="Q14" i="10" s="1"/>
  <c r="I19" i="10" l="1"/>
  <c r="J19" i="10" s="1"/>
  <c r="I14" i="10"/>
  <c r="J14" i="10" s="1"/>
  <c r="P15" i="10"/>
  <c r="Q15" i="10" s="1"/>
  <c r="S15" i="10" s="1"/>
  <c r="P17" i="10"/>
  <c r="S17" i="10" s="1"/>
  <c r="R14" i="10"/>
  <c r="R19" i="10"/>
  <c r="S14" i="10"/>
  <c r="J16" i="10" l="1"/>
  <c r="I15" i="10"/>
  <c r="J15" i="10" s="1"/>
  <c r="I17" i="10"/>
  <c r="J1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9" authorId="0" shapeId="0" xr:uid="{4557DD60-981F-4295-8FA5-0D23651A9374}">
      <text>
        <r>
          <rPr>
            <sz val="9"/>
            <color indexed="81"/>
            <rFont val="Tahoma"/>
            <family val="2"/>
          </rPr>
          <t xml:space="preserve">ENTRE 1.8 A 2.5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  <author>PC</author>
  </authors>
  <commentList>
    <comment ref="G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Q(diseño por tramo): Se debe sumar  cada tramo anterior al de análisis.</t>
        </r>
      </text>
    </comment>
    <comment ref="H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Long (Km):</t>
        </r>
        <r>
          <rPr>
            <sz val="9"/>
            <color indexed="81"/>
            <rFont val="Tahoma"/>
            <family val="2"/>
          </rPr>
          <t xml:space="preserve">
Longitud Horizontal de P1 a P2 en Kilometros</t>
        </r>
      </text>
    </comment>
    <comment ref="J12" authorId="0" shapeId="0" xr:uid="{B7DBD7AC-2CC3-4909-9A37-AEB982C08C16}">
      <text>
        <r>
          <rPr>
            <b/>
            <sz val="9"/>
            <color indexed="81"/>
            <rFont val="Tahoma"/>
            <family val="2"/>
          </rPr>
          <t>Dcomercial:</t>
        </r>
        <r>
          <rPr>
            <sz val="9"/>
            <color indexed="81"/>
            <rFont val="Tahoma"/>
            <family val="2"/>
          </rPr>
          <t xml:space="preserve">
Se determina con H y W</t>
        </r>
      </text>
    </comment>
    <comment ref="K1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Dcomercial:</t>
        </r>
        <r>
          <rPr>
            <sz val="9"/>
            <color indexed="81"/>
            <rFont val="Tahoma"/>
            <family val="2"/>
          </rPr>
          <t xml:space="preserve">
Colocar el diametro comercial de tuberia mas cercano superior al Dcalculado</t>
        </r>
      </text>
    </comment>
    <comment ref="M1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RNE (OS.010):</t>
        </r>
        <r>
          <rPr>
            <sz val="9"/>
            <color indexed="81"/>
            <rFont val="Tahoma"/>
            <family val="2"/>
          </rPr>
          <t xml:space="preserve">
Para tuberias de Captacion y Conduccion:
Veloc. Maxima=5 mt/seg
Veloc. Minim=0.6 mt/seg</t>
        </r>
      </text>
    </comment>
    <comment ref="N1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Luffi:</t>
        </r>
        <r>
          <rPr>
            <sz val="9"/>
            <color indexed="81"/>
            <rFont val="Tahoma"/>
            <family val="2"/>
          </rPr>
          <t xml:space="preserve">
Con Hasen-Williams se halla Sreal.</t>
        </r>
      </text>
    </comment>
    <comment ref="O1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Hf(mts):Perdida de Carga</t>
        </r>
        <r>
          <rPr>
            <sz val="9"/>
            <color indexed="81"/>
            <rFont val="Tahoma"/>
            <family val="2"/>
          </rPr>
          <t xml:space="preserve">
Es el producto del Sreal con la Longitud</t>
        </r>
      </text>
    </comment>
    <comment ref="R12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presion inicial = cot apiezometrica inicial - cota de terreno inicial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  <author>PC</author>
  </authors>
  <commentList>
    <comment ref="G12" authorId="0" shapeId="0" xr:uid="{51C79527-5136-40DC-A461-869B30517F29}">
      <text>
        <r>
          <rPr>
            <b/>
            <sz val="9"/>
            <color indexed="81"/>
            <rFont val="Tahoma"/>
            <family val="2"/>
          </rPr>
          <t>Q(diseño por tramo): Se debe sumar  cada tramo anterior al de análisis.</t>
        </r>
      </text>
    </comment>
    <comment ref="H12" authorId="0" shapeId="0" xr:uid="{8961FD60-4F42-421D-AD2E-2D3CEBDFEC83}">
      <text>
        <r>
          <rPr>
            <b/>
            <sz val="9"/>
            <color indexed="81"/>
            <rFont val="Tahoma"/>
            <family val="2"/>
          </rPr>
          <t>Long (Km):</t>
        </r>
        <r>
          <rPr>
            <sz val="9"/>
            <color indexed="81"/>
            <rFont val="Tahoma"/>
            <family val="2"/>
          </rPr>
          <t xml:space="preserve">
Longitud Horizontal de P1 a P2 en Kilometros</t>
        </r>
      </text>
    </comment>
    <comment ref="J12" authorId="0" shapeId="0" xr:uid="{D1B60569-DCFA-447E-920D-55C55DA4187B}">
      <text>
        <r>
          <rPr>
            <b/>
            <sz val="9"/>
            <color indexed="81"/>
            <rFont val="Tahoma"/>
            <family val="2"/>
          </rPr>
          <t>Dcomercial:</t>
        </r>
        <r>
          <rPr>
            <sz val="9"/>
            <color indexed="81"/>
            <rFont val="Tahoma"/>
            <family val="2"/>
          </rPr>
          <t xml:space="preserve">
Se determina con H y W</t>
        </r>
      </text>
    </comment>
    <comment ref="K12" authorId="0" shapeId="0" xr:uid="{0CA9F1F9-1BC1-4912-8F2C-D7F494B92AF7}">
      <text>
        <r>
          <rPr>
            <b/>
            <sz val="9"/>
            <color indexed="81"/>
            <rFont val="Tahoma"/>
            <family val="2"/>
          </rPr>
          <t>Dcomercial:</t>
        </r>
        <r>
          <rPr>
            <sz val="9"/>
            <color indexed="81"/>
            <rFont val="Tahoma"/>
            <family val="2"/>
          </rPr>
          <t xml:space="preserve">
Colocar el diametro comercial de tuberia mas cercano superior al Dcalculado</t>
        </r>
      </text>
    </comment>
    <comment ref="M12" authorId="0" shapeId="0" xr:uid="{1A28AE03-2DCC-4427-B99D-91A9BA12DA38}">
      <text>
        <r>
          <rPr>
            <b/>
            <sz val="9"/>
            <color indexed="81"/>
            <rFont val="Tahoma"/>
            <family val="2"/>
          </rPr>
          <t>RNE (OS.010):</t>
        </r>
        <r>
          <rPr>
            <sz val="9"/>
            <color indexed="81"/>
            <rFont val="Tahoma"/>
            <family val="2"/>
          </rPr>
          <t xml:space="preserve">
Para tuberias de Captacion y Conduccion:
Veloc. Maxima=3 -5 mt/seg
Veloc. Minim=0.6 mt/seg</t>
        </r>
      </text>
    </comment>
    <comment ref="N12" authorId="0" shapeId="0" xr:uid="{200215CC-60C3-4888-B5F6-41DFF9DC7D07}">
      <text>
        <r>
          <rPr>
            <b/>
            <sz val="9"/>
            <color indexed="81"/>
            <rFont val="Tahoma"/>
            <family val="2"/>
          </rPr>
          <t>Luffi:</t>
        </r>
        <r>
          <rPr>
            <sz val="9"/>
            <color indexed="81"/>
            <rFont val="Tahoma"/>
            <family val="2"/>
          </rPr>
          <t xml:space="preserve">
Con Hasen-Williams se halla Sreal.</t>
        </r>
      </text>
    </comment>
    <comment ref="O12" authorId="0" shapeId="0" xr:uid="{3B506E66-D7FC-4CD4-9D25-D48FF3A96DA5}">
      <text>
        <r>
          <rPr>
            <b/>
            <sz val="9"/>
            <color indexed="81"/>
            <rFont val="Tahoma"/>
            <family val="2"/>
          </rPr>
          <t>Hf(mts):Perdida de Carga</t>
        </r>
        <r>
          <rPr>
            <sz val="9"/>
            <color indexed="81"/>
            <rFont val="Tahoma"/>
            <family val="2"/>
          </rPr>
          <t xml:space="preserve">
Es el producto del Sreal con la Longitud</t>
        </r>
      </text>
    </comment>
    <comment ref="R12" authorId="1" shapeId="0" xr:uid="{25833168-CF67-469F-AB20-9AAD5A38091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presion inicial = cot apiezometrica inicial - cota de terreno inicial
</t>
        </r>
      </text>
    </comment>
  </commentList>
</comments>
</file>

<file path=xl/sharedStrings.xml><?xml version="1.0" encoding="utf-8"?>
<sst xmlns="http://schemas.openxmlformats.org/spreadsheetml/2006/main" count="224" uniqueCount="132">
  <si>
    <t>Lts/Hab/Dia</t>
  </si>
  <si>
    <t>Hf</t>
  </si>
  <si>
    <r>
      <t>D</t>
    </r>
    <r>
      <rPr>
        <sz val="7"/>
        <color theme="1"/>
        <rFont val="Calibri"/>
        <family val="2"/>
        <scheme val="minor"/>
      </rPr>
      <t>comercial (pulg)</t>
    </r>
  </si>
  <si>
    <t>Vel (m/seg)</t>
  </si>
  <si>
    <t>Poblaciones con crecimiento Horizontal a travez de una via principal o un rio</t>
  </si>
  <si>
    <r>
      <t>q</t>
    </r>
    <r>
      <rPr>
        <sz val="7"/>
        <color theme="1"/>
        <rFont val="Calibri"/>
        <family val="2"/>
        <scheme val="minor"/>
      </rPr>
      <t>u:</t>
    </r>
  </si>
  <si>
    <t>Caudal Unitario</t>
  </si>
  <si>
    <t>N° viviendas</t>
  </si>
  <si>
    <t>TRAMO</t>
  </si>
  <si>
    <t>Caudal x Tramo</t>
  </si>
  <si>
    <t>Diseño</t>
  </si>
  <si>
    <t>Long de tramo</t>
  </si>
  <si>
    <t>Diametro</t>
  </si>
  <si>
    <t>Velocidad</t>
  </si>
  <si>
    <t>Piezometrica</t>
  </si>
  <si>
    <t>CPf</t>
  </si>
  <si>
    <t>Pf</t>
  </si>
  <si>
    <t>Qu (por tramo)</t>
  </si>
  <si>
    <t>Longitud (m)</t>
  </si>
  <si>
    <t>Pi</t>
  </si>
  <si>
    <t>Cpi</t>
  </si>
  <si>
    <t>C(PVC)</t>
  </si>
  <si>
    <t>qu=</t>
  </si>
  <si>
    <t>(mm)</t>
  </si>
  <si>
    <t>Qp=</t>
  </si>
  <si>
    <t>Qmd=</t>
  </si>
  <si>
    <t>Qmh=</t>
  </si>
  <si>
    <t>K1=1.3</t>
  </si>
  <si>
    <t>k2=2</t>
  </si>
  <si>
    <t>Pf=</t>
  </si>
  <si>
    <t>Dens. Pobl=</t>
  </si>
  <si>
    <t>A</t>
  </si>
  <si>
    <t>B</t>
  </si>
  <si>
    <t>D</t>
  </si>
  <si>
    <t>I</t>
  </si>
  <si>
    <t>G</t>
  </si>
  <si>
    <t>C</t>
  </si>
  <si>
    <t>H</t>
  </si>
  <si>
    <t>F</t>
  </si>
  <si>
    <t>Sr=</t>
  </si>
  <si>
    <t>RES</t>
  </si>
  <si>
    <t>E</t>
  </si>
  <si>
    <t>CRP 01</t>
  </si>
  <si>
    <t>Cota inicio</t>
  </si>
  <si>
    <t>Cota fin</t>
  </si>
  <si>
    <r>
      <t>D</t>
    </r>
    <r>
      <rPr>
        <sz val="7"/>
        <color theme="1"/>
        <rFont val="Calibri"/>
        <family val="2"/>
        <scheme val="minor"/>
      </rPr>
      <t>(real) pulg</t>
    </r>
  </si>
  <si>
    <t>Q(Diseño)</t>
  </si>
  <si>
    <t>^</t>
  </si>
  <si>
    <t>CRP 03</t>
  </si>
  <si>
    <t>CRP 02</t>
  </si>
  <si>
    <r>
      <t xml:space="preserve">S </t>
    </r>
    <r>
      <rPr>
        <sz val="8"/>
        <color theme="1"/>
        <rFont val="Calibri"/>
        <family val="2"/>
        <scheme val="minor"/>
      </rPr>
      <t>(teorico)</t>
    </r>
  </si>
  <si>
    <t>1.-</t>
  </si>
  <si>
    <t>NOMBRE DEL PROYECTO</t>
  </si>
  <si>
    <t>:</t>
  </si>
  <si>
    <t>AGUA POTABLE -CRUZ PATA</t>
  </si>
  <si>
    <t>2.-</t>
  </si>
  <si>
    <t>NUMERO DEL EXPEDIENTE</t>
  </si>
  <si>
    <t>3.-</t>
  </si>
  <si>
    <t>OFICINA ZONAL</t>
  </si>
  <si>
    <t>ABANCAY</t>
  </si>
  <si>
    <t xml:space="preserve"> </t>
  </si>
  <si>
    <t>A.-</t>
  </si>
  <si>
    <t>POBLACION ACTUAL</t>
  </si>
  <si>
    <t>B.-</t>
  </si>
  <si>
    <t>TASA DE CRECIMIENTO  (%)</t>
  </si>
  <si>
    <t>C.-</t>
  </si>
  <si>
    <t>PERIODO DE DISEÑO  (AÑOS)</t>
  </si>
  <si>
    <t>D.-</t>
  </si>
  <si>
    <t xml:space="preserve">POBLACION FUTURA </t>
  </si>
  <si>
    <t>Pf = Po * ( 1+ r*t/100 )</t>
  </si>
  <si>
    <t>E.-</t>
  </si>
  <si>
    <t>DOTACION (LT/HAB/DIA)</t>
  </si>
  <si>
    <t>F.-</t>
  </si>
  <si>
    <t>CONSUMO PROMEDIO ANUAL (LT/SEG)</t>
  </si>
  <si>
    <t>Q = Pob.* Dot./86,400</t>
  </si>
  <si>
    <t>G.-</t>
  </si>
  <si>
    <t>CONSUMO MAXIMO DIARIO (LT/SEG)</t>
  </si>
  <si>
    <t>Qmd = 1.30 * Q</t>
  </si>
  <si>
    <t>H.-</t>
  </si>
  <si>
    <t>CAUDAL DE LA FUENTE (LT/SEG)</t>
  </si>
  <si>
    <t>Marcar con "1" lo correcto:</t>
  </si>
  <si>
    <t>I.-</t>
  </si>
  <si>
    <t>VOLUMEN DEL RESERVORIO (M3)</t>
  </si>
  <si>
    <t>V = 0.25 * Qmp *86400/1000</t>
  </si>
  <si>
    <t>BOMBEO:</t>
  </si>
  <si>
    <t>NO</t>
  </si>
  <si>
    <t>RESERVORIO PROPUESTO</t>
  </si>
  <si>
    <t>(sí es por Bombeo sera el 30 %)</t>
  </si>
  <si>
    <t>SI</t>
  </si>
  <si>
    <t>POR PROYECTISTA</t>
  </si>
  <si>
    <t>Si el reservorio es cilindrico, y:</t>
  </si>
  <si>
    <t>A UTILIZAR :</t>
  </si>
  <si>
    <t>Entonces:</t>
  </si>
  <si>
    <t>Vpropuesto =</t>
  </si>
  <si>
    <t>J.-</t>
  </si>
  <si>
    <t>CONSUMO MAXIMO HORARIO (LT/SEG)</t>
  </si>
  <si>
    <t>Qmh = 2 * Qmd = 2.60 Q</t>
  </si>
  <si>
    <t>k2=</t>
  </si>
  <si>
    <t>LINEA DE CONDUCCION</t>
  </si>
  <si>
    <t>Elemento</t>
  </si>
  <si>
    <t>Nivel Dinámico</t>
  </si>
  <si>
    <t>Longitud (Km)</t>
  </si>
  <si>
    <t>Caudal tramo</t>
  </si>
  <si>
    <t>Pendiente S</t>
  </si>
  <si>
    <t>Diámetro en "</t>
  </si>
  <si>
    <t>Diám. Comercial</t>
  </si>
  <si>
    <t>Velocidad Flujo</t>
  </si>
  <si>
    <t>H. Piezométrica</t>
  </si>
  <si>
    <t>Presión</t>
  </si>
  <si>
    <t>Captación</t>
  </si>
  <si>
    <t>RESERVORIO</t>
  </si>
  <si>
    <t>NOTA: LA CLASE DE TUBERÍA A UTILIZAR PARA LA LINEA DE CONDUCCION SERÁ CL-10</t>
  </si>
  <si>
    <t>RED DE DISTRIBUCION</t>
  </si>
  <si>
    <t>N`</t>
  </si>
  <si>
    <t>H. Piezométrica F</t>
  </si>
  <si>
    <t xml:space="preserve">C.Piezom. i Salida </t>
  </si>
  <si>
    <t>viviendas</t>
  </si>
  <si>
    <t>Ø1 1/2"</t>
  </si>
  <si>
    <t>Ø1"</t>
  </si>
  <si>
    <t>Ø3/4"</t>
  </si>
  <si>
    <t>Resev</t>
  </si>
  <si>
    <t>D CALC=</t>
  </si>
  <si>
    <t>La C.Piez es la misma que la cota en CRP</t>
  </si>
  <si>
    <t xml:space="preserve">VERIFICADOR DE SISTEMAS ABIERTOS DE AGUA POTABLE </t>
  </si>
  <si>
    <t>CRP-03</t>
  </si>
  <si>
    <t>CRP-02</t>
  </si>
  <si>
    <t>CRP-01</t>
  </si>
  <si>
    <t>CRP-2</t>
  </si>
  <si>
    <t>CRP-3</t>
  </si>
  <si>
    <t>CRP-1</t>
  </si>
  <si>
    <r>
      <t xml:space="preserve">S </t>
    </r>
    <r>
      <rPr>
        <sz val="8"/>
        <color theme="1"/>
        <rFont val="Calibri"/>
        <family val="2"/>
        <scheme val="minor"/>
      </rPr>
      <t>(real)</t>
    </r>
  </si>
  <si>
    <t>S(diseño-comercial)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</si>
</sst>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0.0000"/>
    <numFmt numFmtId="166" formatCode="0.0"/>
    <numFmt numFmtId="167" formatCode="0.000000000"/>
    <numFmt numFmtId="168" formatCode="0.00_)"/>
    <numFmt numFmtId="169" formatCode="0&quot; Hab&quot;"/>
    <numFmt numFmtId="170" formatCode="0.00&quot; lt/s&quot;"/>
    <numFmt numFmtId="171" formatCode="0&quot; hab/fam&quot;"/>
    <numFmt numFmtId="172" formatCode="0.00&quot;''&quot;"/>
    <numFmt numFmtId="173" formatCode="0_)"/>
    <numFmt numFmtId="174" formatCode="&quot;h= &quot;0.00_)"/>
    <numFmt numFmtId="175" formatCode="&quot;R = &quot;0.00_)"/>
    <numFmt numFmtId="176" formatCode="0.000_)"/>
    <numFmt numFmtId="177" formatCode="&quot;CRP&quot;0"/>
    <numFmt numFmtId="178" formatCode=";;;"/>
    <numFmt numFmtId="179" formatCode="&quot;Pileta &quot;0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Helv"/>
    </font>
    <font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rgb="FFC00000"/>
      <name val="Arial"/>
      <family val="2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2"/>
      <color indexed="19"/>
      <name val="Helv"/>
    </font>
    <font>
      <b/>
      <sz val="9"/>
      <name val="Helv"/>
    </font>
    <font>
      <sz val="12"/>
      <color indexed="19"/>
      <name val="Helv"/>
    </font>
    <font>
      <sz val="12"/>
      <color indexed="8"/>
      <name val="Arial"/>
      <family val="2"/>
    </font>
    <font>
      <sz val="12"/>
      <color indexed="10"/>
      <name val="Helv"/>
    </font>
    <font>
      <b/>
      <sz val="12"/>
      <color indexed="39"/>
      <name val="Arial"/>
      <family val="2"/>
    </font>
    <font>
      <b/>
      <sz val="12"/>
      <name val="Times New Roman"/>
      <family val="1"/>
    </font>
    <font>
      <sz val="12"/>
      <color indexed="10"/>
      <name val="Times New Roman"/>
      <family val="1"/>
    </font>
    <font>
      <b/>
      <sz val="12"/>
      <color indexed="10"/>
      <name val="Helv"/>
    </font>
    <font>
      <b/>
      <sz val="12"/>
      <color indexed="10"/>
      <name val="Arial"/>
      <family val="2"/>
    </font>
    <font>
      <b/>
      <sz val="12"/>
      <color indexed="9"/>
      <name val="Arial"/>
      <family val="2"/>
    </font>
    <font>
      <sz val="12"/>
      <color indexed="9"/>
      <name val="Helv"/>
    </font>
    <font>
      <sz val="12"/>
      <color indexed="9"/>
      <name val="CG Times (W1)"/>
      <family val="1"/>
    </font>
    <font>
      <sz val="12"/>
      <name val="CG Times (W1)"/>
      <family val="1"/>
    </font>
    <font>
      <sz val="9"/>
      <name val="Arial"/>
      <family val="2"/>
    </font>
    <font>
      <sz val="12"/>
      <color indexed="12"/>
      <name val="Arial"/>
      <family val="2"/>
    </font>
    <font>
      <sz val="10"/>
      <name val="Arial"/>
      <family val="2"/>
    </font>
    <font>
      <sz val="6"/>
      <color indexed="9"/>
      <name val="CG Times (W1)"/>
      <family val="1"/>
    </font>
    <font>
      <sz val="8"/>
      <name val="Arial"/>
      <family val="2"/>
    </font>
    <font>
      <sz val="9"/>
      <name val="CG Times (W1)"/>
      <family val="1"/>
    </font>
    <font>
      <sz val="12"/>
      <color indexed="8"/>
      <name val="Helv"/>
    </font>
    <font>
      <sz val="12"/>
      <color indexed="12"/>
      <name val="Helv"/>
    </font>
    <font>
      <sz val="12"/>
      <color indexed="12"/>
      <name val="CG Times (W1)"/>
      <family val="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8" fontId="11" fillId="0" borderId="0"/>
  </cellStyleXfs>
  <cellXfs count="2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/>
    <xf numFmtId="166" fontId="0" fillId="4" borderId="4" xfId="0" applyNumberFormat="1" applyFill="1" applyBorder="1" applyAlignment="1">
      <alignment horizontal="center"/>
    </xf>
    <xf numFmtId="164" fontId="0" fillId="0" borderId="0" xfId="0" applyNumberFormat="1"/>
    <xf numFmtId="168" fontId="12" fillId="0" borderId="1" xfId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2" fontId="2" fillId="2" borderId="1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9" fillId="8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7" borderId="4" xfId="0" applyFill="1" applyBorder="1"/>
    <xf numFmtId="0" fontId="0" fillId="8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164" fontId="0" fillId="7" borderId="4" xfId="0" applyNumberFormat="1" applyFill="1" applyBorder="1" applyAlignment="1">
      <alignment horizontal="center"/>
    </xf>
    <xf numFmtId="164" fontId="9" fillId="8" borderId="4" xfId="0" applyNumberFormat="1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166" fontId="0" fillId="4" borderId="11" xfId="0" applyNumberFormat="1" applyFill="1" applyBorder="1" applyAlignment="1">
      <alignment horizontal="center"/>
    </xf>
    <xf numFmtId="164" fontId="9" fillId="8" borderId="12" xfId="0" applyNumberFormat="1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164" fontId="9" fillId="8" borderId="14" xfId="0" applyNumberFormat="1" applyFont="1" applyFill="1" applyBorder="1" applyAlignment="1">
      <alignment horizontal="center"/>
    </xf>
    <xf numFmtId="0" fontId="14" fillId="7" borderId="13" xfId="0" applyFont="1" applyFill="1" applyBorder="1" applyAlignment="1">
      <alignment horizontal="center"/>
    </xf>
    <xf numFmtId="0" fontId="0" fillId="7" borderId="13" xfId="0" quotePrefix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164" fontId="2" fillId="9" borderId="4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8" fontId="12" fillId="0" borderId="0" xfId="1" applyFont="1"/>
    <xf numFmtId="168" fontId="12" fillId="0" borderId="0" xfId="1" applyFont="1" applyAlignment="1">
      <alignment horizontal="center"/>
    </xf>
    <xf numFmtId="172" fontId="12" fillId="0" borderId="0" xfId="1" applyNumberFormat="1" applyFont="1"/>
    <xf numFmtId="168" fontId="11" fillId="0" borderId="0" xfId="1"/>
    <xf numFmtId="168" fontId="16" fillId="0" borderId="0" xfId="1" applyFont="1"/>
    <xf numFmtId="168" fontId="18" fillId="0" borderId="0" xfId="1" applyFont="1" applyAlignment="1">
      <alignment horizontal="centerContinuous"/>
    </xf>
    <xf numFmtId="168" fontId="18" fillId="0" borderId="0" xfId="1" applyFont="1" applyAlignment="1">
      <alignment horizontal="center"/>
    </xf>
    <xf numFmtId="172" fontId="18" fillId="0" borderId="0" xfId="1" applyNumberFormat="1" applyFont="1" applyAlignment="1">
      <alignment horizontal="centerContinuous"/>
    </xf>
    <xf numFmtId="168" fontId="12" fillId="0" borderId="0" xfId="1" applyFont="1" applyAlignment="1">
      <alignment horizontal="centerContinuous"/>
    </xf>
    <xf numFmtId="168" fontId="12" fillId="0" borderId="0" xfId="1" applyFont="1" applyAlignment="1" applyProtection="1">
      <alignment horizontal="center"/>
      <protection locked="0"/>
    </xf>
    <xf numFmtId="168" fontId="12" fillId="0" borderId="0" xfId="1" applyFont="1" applyProtection="1">
      <protection locked="0"/>
    </xf>
    <xf numFmtId="172" fontId="12" fillId="0" borderId="0" xfId="1" applyNumberFormat="1" applyFont="1" applyProtection="1">
      <protection locked="0"/>
    </xf>
    <xf numFmtId="168" fontId="19" fillId="0" borderId="0" xfId="1" applyFont="1" applyAlignment="1">
      <alignment horizontal="right"/>
    </xf>
    <xf numFmtId="168" fontId="19" fillId="0" borderId="0" xfId="1" applyFont="1" applyAlignment="1">
      <alignment horizontal="center"/>
    </xf>
    <xf numFmtId="168" fontId="19" fillId="10" borderId="0" xfId="1" applyFont="1" applyFill="1"/>
    <xf numFmtId="172" fontId="19" fillId="10" borderId="0" xfId="1" applyNumberFormat="1" applyFont="1" applyFill="1"/>
    <xf numFmtId="168" fontId="19" fillId="0" borderId="0" xfId="1" applyFont="1" applyProtection="1">
      <protection locked="0"/>
    </xf>
    <xf numFmtId="173" fontId="19" fillId="10" borderId="0" xfId="1" quotePrefix="1" applyNumberFormat="1" applyFont="1" applyFill="1"/>
    <xf numFmtId="168" fontId="19" fillId="0" borderId="0" xfId="1" applyFont="1"/>
    <xf numFmtId="173" fontId="12" fillId="11" borderId="18" xfId="1" applyNumberFormat="1" applyFont="1" applyFill="1" applyBorder="1" applyProtection="1">
      <protection locked="0"/>
    </xf>
    <xf numFmtId="168" fontId="12" fillId="11" borderId="1" xfId="1" applyFont="1" applyFill="1" applyBorder="1" applyProtection="1">
      <protection locked="0"/>
    </xf>
    <xf numFmtId="168" fontId="12" fillId="0" borderId="19" xfId="1" applyFont="1" applyBorder="1"/>
    <xf numFmtId="173" fontId="12" fillId="0" borderId="18" xfId="1" applyNumberFormat="1" applyFont="1" applyBorder="1"/>
    <xf numFmtId="168" fontId="12" fillId="0" borderId="20" xfId="1" applyFont="1" applyBorder="1"/>
    <xf numFmtId="168" fontId="12" fillId="0" borderId="18" xfId="1" applyFont="1" applyBorder="1"/>
    <xf numFmtId="168" fontId="12" fillId="0" borderId="21" xfId="1" applyFont="1" applyBorder="1"/>
    <xf numFmtId="168" fontId="12" fillId="11" borderId="18" xfId="1" applyFont="1" applyFill="1" applyBorder="1" applyProtection="1">
      <protection locked="0"/>
    </xf>
    <xf numFmtId="168" fontId="19" fillId="0" borderId="0" xfId="1" applyFont="1" applyAlignment="1">
      <alignment horizontal="centerContinuous"/>
    </xf>
    <xf numFmtId="168" fontId="20" fillId="0" borderId="0" xfId="1" applyFont="1" applyAlignment="1">
      <alignment horizontal="right"/>
    </xf>
    <xf numFmtId="168" fontId="20" fillId="0" borderId="0" xfId="1" applyFont="1" applyAlignment="1">
      <alignment horizontal="left"/>
    </xf>
    <xf numFmtId="168" fontId="19" fillId="0" borderId="0" xfId="1" applyFont="1" applyAlignment="1">
      <alignment horizontal="justify" vertical="justify"/>
    </xf>
    <xf numFmtId="172" fontId="19" fillId="0" borderId="1" xfId="1" applyNumberFormat="1" applyFont="1" applyBorder="1" applyAlignment="1" applyProtection="1">
      <alignment horizontal="center"/>
      <protection locked="0"/>
    </xf>
    <xf numFmtId="168" fontId="21" fillId="0" borderId="0" xfId="1" applyFont="1" applyAlignment="1">
      <alignment horizontal="centerContinuous"/>
    </xf>
    <xf numFmtId="168" fontId="11" fillId="0" borderId="0" xfId="1" applyAlignment="1">
      <alignment horizontal="centerContinuous"/>
    </xf>
    <xf numFmtId="168" fontId="20" fillId="0" borderId="0" xfId="1" applyFont="1" applyAlignment="1">
      <alignment horizontal="centerContinuous"/>
    </xf>
    <xf numFmtId="168" fontId="22" fillId="0" borderId="0" xfId="1" applyFont="1" applyAlignment="1">
      <alignment horizontal="centerContinuous"/>
    </xf>
    <xf numFmtId="168" fontId="12" fillId="0" borderId="0" xfId="1" applyFont="1" applyAlignment="1">
      <alignment horizontal="right"/>
    </xf>
    <xf numFmtId="174" fontId="23" fillId="0" borderId="0" xfId="1" applyNumberFormat="1" applyFont="1" applyAlignment="1" applyProtection="1">
      <alignment horizontal="centerContinuous"/>
      <protection locked="0"/>
    </xf>
    <xf numFmtId="168" fontId="12" fillId="0" borderId="0" xfId="1" applyFont="1" applyAlignment="1">
      <alignment horizontal="justify" vertical="justify"/>
    </xf>
    <xf numFmtId="172" fontId="11" fillId="0" borderId="0" xfId="1" applyNumberFormat="1"/>
    <xf numFmtId="174" fontId="24" fillId="0" borderId="0" xfId="1" applyNumberFormat="1" applyFont="1"/>
    <xf numFmtId="168" fontId="11" fillId="0" borderId="0" xfId="1" applyAlignment="1">
      <alignment horizontal="center"/>
    </xf>
    <xf numFmtId="168" fontId="25" fillId="11" borderId="18" xfId="1" applyFont="1" applyFill="1" applyBorder="1" applyProtection="1">
      <protection locked="0"/>
    </xf>
    <xf numFmtId="168" fontId="11" fillId="0" borderId="0" xfId="1" applyAlignment="1">
      <alignment horizontal="right"/>
    </xf>
    <xf numFmtId="175" fontId="26" fillId="11" borderId="1" xfId="1" applyNumberFormat="1" applyFont="1" applyFill="1" applyBorder="1"/>
    <xf numFmtId="175" fontId="27" fillId="0" borderId="0" xfId="1" applyNumberFormat="1" applyFont="1"/>
    <xf numFmtId="168" fontId="28" fillId="11" borderId="5" xfId="1" applyFont="1" applyFill="1" applyBorder="1"/>
    <xf numFmtId="168" fontId="29" fillId="11" borderId="6" xfId="1" applyFont="1" applyFill="1" applyBorder="1" applyAlignment="1">
      <alignment horizontal="left"/>
    </xf>
    <xf numFmtId="176" fontId="12" fillId="0" borderId="18" xfId="1" applyNumberFormat="1" applyFont="1" applyBorder="1"/>
    <xf numFmtId="168" fontId="12" fillId="11" borderId="0" xfId="1" applyFont="1" applyFill="1"/>
    <xf numFmtId="168" fontId="30" fillId="12" borderId="5" xfId="1" applyFont="1" applyFill="1" applyBorder="1" applyAlignment="1">
      <alignment horizontal="center"/>
    </xf>
    <xf numFmtId="168" fontId="31" fillId="12" borderId="22" xfId="1" applyFont="1" applyFill="1" applyBorder="1" applyAlignment="1">
      <alignment horizontal="centerContinuous"/>
    </xf>
    <xf numFmtId="168" fontId="32" fillId="12" borderId="22" xfId="1" applyFont="1" applyFill="1" applyBorder="1" applyAlignment="1">
      <alignment horizontal="centerContinuous"/>
    </xf>
    <xf numFmtId="172" fontId="32" fillId="12" borderId="22" xfId="1" applyNumberFormat="1" applyFont="1" applyFill="1" applyBorder="1" applyAlignment="1">
      <alignment horizontal="center"/>
    </xf>
    <xf numFmtId="168" fontId="32" fillId="12" borderId="6" xfId="1" applyFont="1" applyFill="1" applyBorder="1" applyAlignment="1">
      <alignment horizontal="centerContinuous"/>
    </xf>
    <xf numFmtId="168" fontId="33" fillId="0" borderId="0" xfId="1" applyFont="1"/>
    <xf numFmtId="168" fontId="12" fillId="0" borderId="23" xfId="1" applyFont="1" applyBorder="1" applyAlignment="1">
      <alignment horizontal="center"/>
    </xf>
    <xf numFmtId="168" fontId="34" fillId="0" borderId="23" xfId="1" applyFont="1" applyBorder="1" applyAlignment="1">
      <alignment horizontal="center"/>
    </xf>
    <xf numFmtId="172" fontId="34" fillId="0" borderId="23" xfId="1" applyNumberFormat="1" applyFont="1" applyBorder="1" applyAlignment="1">
      <alignment horizontal="center"/>
    </xf>
    <xf numFmtId="168" fontId="34" fillId="0" borderId="24" xfId="1" applyFont="1" applyBorder="1" applyAlignment="1" applyProtection="1">
      <alignment horizontal="center"/>
      <protection locked="0"/>
    </xf>
    <xf numFmtId="168" fontId="35" fillId="0" borderId="25" xfId="1" applyFont="1" applyBorder="1" applyAlignment="1" applyProtection="1">
      <alignment horizontal="center"/>
      <protection locked="0"/>
    </xf>
    <xf numFmtId="168" fontId="33" fillId="0" borderId="23" xfId="1" applyFont="1" applyBorder="1" applyAlignment="1" applyProtection="1">
      <alignment horizontal="center"/>
      <protection locked="0"/>
    </xf>
    <xf numFmtId="168" fontId="33" fillId="0" borderId="23" xfId="1" applyFont="1" applyBorder="1" applyProtection="1">
      <protection locked="0"/>
    </xf>
    <xf numFmtId="176" fontId="33" fillId="0" borderId="23" xfId="1" applyNumberFormat="1" applyFont="1" applyBorder="1" applyProtection="1">
      <protection locked="0"/>
    </xf>
    <xf numFmtId="168" fontId="33" fillId="0" borderId="23" xfId="1" applyFont="1" applyBorder="1"/>
    <xf numFmtId="172" fontId="33" fillId="0" borderId="23" xfId="1" applyNumberFormat="1" applyFont="1" applyBorder="1" applyAlignment="1">
      <alignment horizontal="center"/>
    </xf>
    <xf numFmtId="168" fontId="33" fillId="0" borderId="24" xfId="1" applyFont="1" applyBorder="1"/>
    <xf numFmtId="168" fontId="33" fillId="0" borderId="25" xfId="1" applyFont="1" applyBorder="1"/>
    <xf numFmtId="168" fontId="12" fillId="10" borderId="23" xfId="1" applyFont="1" applyFill="1" applyBorder="1" applyAlignment="1" applyProtection="1">
      <alignment horizontal="center"/>
      <protection locked="0"/>
    </xf>
    <xf numFmtId="168" fontId="12" fillId="10" borderId="23" xfId="1" applyFont="1" applyFill="1" applyBorder="1" applyProtection="1">
      <protection locked="0"/>
    </xf>
    <xf numFmtId="176" fontId="12" fillId="10" borderId="23" xfId="1" applyNumberFormat="1" applyFont="1" applyFill="1" applyBorder="1" applyProtection="1">
      <protection locked="0"/>
    </xf>
    <xf numFmtId="168" fontId="12" fillId="0" borderId="23" xfId="1" applyFont="1" applyBorder="1"/>
    <xf numFmtId="172" fontId="12" fillId="10" borderId="23" xfId="1" applyNumberFormat="1" applyFont="1" applyFill="1" applyBorder="1" applyAlignment="1" applyProtection="1">
      <alignment horizontal="center"/>
      <protection locked="0"/>
    </xf>
    <xf numFmtId="168" fontId="12" fillId="0" borderId="24" xfId="1" applyFont="1" applyBorder="1" applyProtection="1">
      <protection locked="0"/>
    </xf>
    <xf numFmtId="168" fontId="12" fillId="0" borderId="25" xfId="1" applyFont="1" applyBorder="1"/>
    <xf numFmtId="177" fontId="12" fillId="10" borderId="23" xfId="1" applyNumberFormat="1" applyFont="1" applyFill="1" applyBorder="1" applyAlignment="1" applyProtection="1">
      <alignment horizontal="center"/>
      <protection locked="0"/>
    </xf>
    <xf numFmtId="168" fontId="12" fillId="10" borderId="18" xfId="1" applyFont="1" applyFill="1" applyBorder="1" applyProtection="1">
      <protection locked="0"/>
    </xf>
    <xf numFmtId="177" fontId="36" fillId="10" borderId="23" xfId="1" applyNumberFormat="1" applyFont="1" applyFill="1" applyBorder="1" applyAlignment="1" applyProtection="1">
      <alignment horizontal="center"/>
      <protection locked="0"/>
    </xf>
    <xf numFmtId="168" fontId="12" fillId="10" borderId="1" xfId="1" applyFont="1" applyFill="1" applyBorder="1" applyProtection="1">
      <protection locked="0"/>
    </xf>
    <xf numFmtId="176" fontId="12" fillId="10" borderId="1" xfId="1" applyNumberFormat="1" applyFont="1" applyFill="1" applyBorder="1" applyProtection="1">
      <protection locked="0"/>
    </xf>
    <xf numFmtId="177" fontId="36" fillId="10" borderId="26" xfId="1" applyNumberFormat="1" applyFont="1" applyFill="1" applyBorder="1" applyAlignment="1" applyProtection="1">
      <alignment horizontal="center"/>
      <protection locked="0"/>
    </xf>
    <xf numFmtId="172" fontId="12" fillId="10" borderId="1" xfId="1" applyNumberFormat="1" applyFont="1" applyFill="1" applyBorder="1" applyAlignment="1" applyProtection="1">
      <alignment horizontal="center"/>
      <protection locked="0"/>
    </xf>
    <xf numFmtId="168" fontId="12" fillId="0" borderId="1" xfId="1" applyFont="1" applyBorder="1" applyProtection="1">
      <protection locked="0"/>
    </xf>
    <xf numFmtId="177" fontId="36" fillId="0" borderId="0" xfId="1" applyNumberFormat="1" applyFont="1" applyAlignment="1" applyProtection="1">
      <alignment horizontal="center"/>
      <protection locked="0"/>
    </xf>
    <xf numFmtId="176" fontId="12" fillId="0" borderId="0" xfId="1" applyNumberFormat="1" applyFont="1" applyProtection="1">
      <protection locked="0"/>
    </xf>
    <xf numFmtId="172" fontId="12" fillId="0" borderId="0" xfId="1" applyNumberFormat="1" applyFont="1" applyAlignment="1" applyProtection="1">
      <alignment horizontal="center"/>
      <protection locked="0"/>
    </xf>
    <xf numFmtId="177" fontId="36" fillId="0" borderId="0" xfId="1" applyNumberFormat="1" applyFont="1" applyAlignment="1" applyProtection="1">
      <alignment horizontal="left"/>
      <protection locked="0"/>
    </xf>
    <xf numFmtId="176" fontId="33" fillId="0" borderId="0" xfId="1" applyNumberFormat="1" applyFont="1"/>
    <xf numFmtId="172" fontId="33" fillId="0" borderId="0" xfId="1" applyNumberFormat="1" applyFont="1" applyAlignment="1">
      <alignment horizontal="center"/>
    </xf>
    <xf numFmtId="168" fontId="30" fillId="12" borderId="5" xfId="1" applyFont="1" applyFill="1" applyBorder="1" applyAlignment="1">
      <alignment horizontal="centerContinuous"/>
    </xf>
    <xf numFmtId="168" fontId="37" fillId="12" borderId="22" xfId="1" applyFont="1" applyFill="1" applyBorder="1" applyAlignment="1">
      <alignment horizontal="centerContinuous"/>
    </xf>
    <xf numFmtId="172" fontId="32" fillId="12" borderId="22" xfId="1" applyNumberFormat="1" applyFont="1" applyFill="1" applyBorder="1" applyAlignment="1">
      <alignment horizontal="centerContinuous"/>
    </xf>
    <xf numFmtId="172" fontId="12" fillId="0" borderId="23" xfId="1" applyNumberFormat="1" applyFont="1" applyBorder="1" applyAlignment="1">
      <alignment horizontal="center"/>
    </xf>
    <xf numFmtId="168" fontId="12" fillId="0" borderId="24" xfId="1" applyFont="1" applyBorder="1" applyAlignment="1" applyProtection="1">
      <alignment horizontal="center"/>
      <protection locked="0"/>
    </xf>
    <xf numFmtId="168" fontId="33" fillId="0" borderId="7" xfId="1" applyFont="1" applyBorder="1" applyAlignment="1" applyProtection="1">
      <alignment horizontal="center"/>
      <protection locked="0"/>
    </xf>
    <xf numFmtId="168" fontId="19" fillId="0" borderId="1" xfId="1" applyFont="1" applyBorder="1" applyAlignment="1">
      <alignment horizontal="center"/>
    </xf>
    <xf numFmtId="168" fontId="38" fillId="0" borderId="1" xfId="1" applyFont="1" applyBorder="1" applyAlignment="1">
      <alignment horizontal="center"/>
    </xf>
    <xf numFmtId="168" fontId="12" fillId="0" borderId="1" xfId="1" applyFont="1" applyBorder="1" applyAlignment="1">
      <alignment horizontal="center"/>
    </xf>
    <xf numFmtId="172" fontId="38" fillId="0" borderId="1" xfId="1" applyNumberFormat="1" applyFont="1" applyBorder="1" applyAlignment="1">
      <alignment horizontal="center"/>
    </xf>
    <xf numFmtId="168" fontId="38" fillId="0" borderId="1" xfId="1" applyFont="1" applyBorder="1" applyAlignment="1" applyProtection="1">
      <alignment horizontal="center"/>
      <protection locked="0"/>
    </xf>
    <xf numFmtId="168" fontId="35" fillId="0" borderId="1" xfId="1" applyFont="1" applyBorder="1" applyAlignment="1" applyProtection="1">
      <alignment horizontal="center"/>
      <protection locked="0"/>
    </xf>
    <xf numFmtId="168" fontId="39" fillId="0" borderId="1" xfId="1" applyFont="1" applyBorder="1" applyAlignment="1" applyProtection="1">
      <alignment horizontal="center"/>
      <protection locked="0"/>
    </xf>
    <xf numFmtId="168" fontId="12" fillId="0" borderId="1" xfId="1" applyFont="1" applyBorder="1" applyAlignment="1" applyProtection="1">
      <alignment horizontal="center"/>
      <protection locked="0"/>
    </xf>
    <xf numFmtId="176" fontId="12" fillId="0" borderId="1" xfId="1" applyNumberFormat="1" applyFont="1" applyBorder="1" applyProtection="1">
      <protection locked="0"/>
    </xf>
    <xf numFmtId="172" fontId="12" fillId="0" borderId="1" xfId="1" applyNumberFormat="1" applyFont="1" applyBorder="1" applyAlignment="1" applyProtection="1">
      <alignment horizontal="center"/>
      <protection locked="0"/>
    </xf>
    <xf numFmtId="168" fontId="35" fillId="0" borderId="1" xfId="1" applyFont="1" applyBorder="1" applyProtection="1">
      <protection locked="0"/>
    </xf>
    <xf numFmtId="2" fontId="40" fillId="0" borderId="0" xfId="1" applyNumberFormat="1" applyFont="1"/>
    <xf numFmtId="178" fontId="11" fillId="0" borderId="0" xfId="1" applyNumberFormat="1"/>
    <xf numFmtId="179" fontId="12" fillId="0" borderId="1" xfId="1" applyNumberFormat="1" applyFont="1" applyBorder="1" applyAlignment="1" applyProtection="1">
      <alignment horizontal="center"/>
      <protection locked="0"/>
    </xf>
    <xf numFmtId="179" fontId="40" fillId="0" borderId="0" xfId="1" applyNumberFormat="1" applyFont="1" applyAlignment="1">
      <alignment horizontal="center"/>
    </xf>
    <xf numFmtId="168" fontId="11" fillId="0" borderId="0" xfId="1" applyProtection="1">
      <protection locked="0"/>
    </xf>
    <xf numFmtId="164" fontId="11" fillId="0" borderId="0" xfId="1" applyNumberFormat="1"/>
    <xf numFmtId="179" fontId="40" fillId="0" borderId="0" xfId="1" applyNumberFormat="1" applyFont="1" applyAlignment="1">
      <alignment horizontal="left"/>
    </xf>
    <xf numFmtId="168" fontId="41" fillId="0" borderId="0" xfId="1" applyFont="1" applyAlignment="1" applyProtection="1">
      <alignment horizontal="right"/>
      <protection locked="0"/>
    </xf>
    <xf numFmtId="179" fontId="12" fillId="10" borderId="1" xfId="1" applyNumberFormat="1" applyFont="1" applyFill="1" applyBorder="1" applyAlignment="1" applyProtection="1">
      <alignment horizontal="center"/>
      <protection locked="0"/>
    </xf>
    <xf numFmtId="168" fontId="35" fillId="10" borderId="1" xfId="1" applyFont="1" applyFill="1" applyBorder="1" applyProtection="1">
      <protection locked="0"/>
    </xf>
    <xf numFmtId="179" fontId="33" fillId="0" borderId="0" xfId="1" applyNumberFormat="1" applyFont="1" applyAlignment="1">
      <alignment horizontal="center"/>
    </xf>
    <xf numFmtId="168" fontId="42" fillId="0" borderId="0" xfId="1" applyFont="1" applyProtection="1">
      <protection locked="0"/>
    </xf>
    <xf numFmtId="168" fontId="33" fillId="0" borderId="0" xfId="1" applyFont="1" applyAlignment="1">
      <alignment horizontal="center"/>
    </xf>
    <xf numFmtId="172" fontId="33" fillId="0" borderId="0" xfId="1" applyNumberFormat="1" applyFont="1"/>
    <xf numFmtId="168" fontId="19" fillId="0" borderId="1" xfId="1" applyFont="1" applyBorder="1"/>
    <xf numFmtId="0" fontId="1" fillId="6" borderId="1" xfId="0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 wrapText="1"/>
    </xf>
    <xf numFmtId="2" fontId="43" fillId="0" borderId="1" xfId="0" applyNumberFormat="1" applyFont="1" applyBorder="1" applyAlignment="1">
      <alignment horizontal="center"/>
    </xf>
    <xf numFmtId="166" fontId="44" fillId="4" borderId="4" xfId="0" applyNumberFormat="1" applyFont="1" applyFill="1" applyBorder="1" applyAlignment="1">
      <alignment horizontal="center"/>
    </xf>
    <xf numFmtId="4" fontId="43" fillId="0" borderId="1" xfId="0" applyNumberFormat="1" applyFont="1" applyBorder="1" applyAlignment="1">
      <alignment horizontal="center"/>
    </xf>
    <xf numFmtId="164" fontId="43" fillId="7" borderId="1" xfId="0" applyNumberFormat="1" applyFont="1" applyFill="1" applyBorder="1" applyAlignment="1">
      <alignment horizontal="center"/>
    </xf>
    <xf numFmtId="164" fontId="44" fillId="8" borderId="1" xfId="0" applyNumberFormat="1" applyFont="1" applyFill="1" applyBorder="1" applyAlignment="1">
      <alignment horizontal="center"/>
    </xf>
    <xf numFmtId="164" fontId="44" fillId="7" borderId="1" xfId="0" applyNumberFormat="1" applyFont="1" applyFill="1" applyBorder="1" applyAlignment="1">
      <alignment horizontal="center"/>
    </xf>
    <xf numFmtId="164" fontId="45" fillId="8" borderId="14" xfId="0" applyNumberFormat="1" applyFont="1" applyFill="1" applyBorder="1" applyAlignment="1">
      <alignment horizontal="center"/>
    </xf>
    <xf numFmtId="166" fontId="44" fillId="4" borderId="3" xfId="0" applyNumberFormat="1" applyFont="1" applyFill="1" applyBorder="1" applyAlignment="1">
      <alignment horizontal="center"/>
    </xf>
    <xf numFmtId="4" fontId="43" fillId="0" borderId="16" xfId="0" applyNumberFormat="1" applyFont="1" applyBorder="1" applyAlignment="1">
      <alignment horizontal="center"/>
    </xf>
    <xf numFmtId="2" fontId="43" fillId="0" borderId="16" xfId="0" applyNumberFormat="1" applyFont="1" applyBorder="1" applyAlignment="1">
      <alignment horizontal="center"/>
    </xf>
    <xf numFmtId="164" fontId="43" fillId="7" borderId="16" xfId="0" applyNumberFormat="1" applyFont="1" applyFill="1" applyBorder="1" applyAlignment="1">
      <alignment horizontal="center"/>
    </xf>
    <xf numFmtId="164" fontId="44" fillId="8" borderId="16" xfId="0" applyNumberFormat="1" applyFont="1" applyFill="1" applyBorder="1" applyAlignment="1">
      <alignment horizontal="center"/>
    </xf>
    <xf numFmtId="164" fontId="44" fillId="7" borderId="16" xfId="0" applyNumberFormat="1" applyFont="1" applyFill="1" applyBorder="1" applyAlignment="1">
      <alignment horizontal="center"/>
    </xf>
    <xf numFmtId="164" fontId="45" fillId="8" borderId="17" xfId="0" applyNumberFormat="1" applyFont="1" applyFill="1" applyBorder="1" applyAlignment="1">
      <alignment horizontal="center"/>
    </xf>
    <xf numFmtId="168" fontId="17" fillId="0" borderId="0" xfId="1" applyFont="1" applyAlignment="1">
      <alignment horizontal="center"/>
    </xf>
    <xf numFmtId="0" fontId="0" fillId="0" borderId="2" xfId="0" applyBorder="1" applyAlignment="1">
      <alignment horizontal="center"/>
    </xf>
    <xf numFmtId="0" fontId="10" fillId="5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7" fontId="13" fillId="0" borderId="0" xfId="0" applyNumberFormat="1" applyFont="1" applyAlignment="1">
      <alignment horizontal="right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71" fontId="0" fillId="13" borderId="0" xfId="0" applyNumberFormat="1" applyFill="1" applyAlignment="1">
      <alignment horizontal="center"/>
    </xf>
    <xf numFmtId="167" fontId="13" fillId="13" borderId="0" xfId="0" applyNumberFormat="1" applyFont="1" applyFill="1" applyAlignment="1">
      <alignment horizontal="right"/>
    </xf>
    <xf numFmtId="0" fontId="2" fillId="13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164" fontId="2" fillId="8" borderId="28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2" fontId="2" fillId="8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106680</xdr:colOff>
      <xdr:row>3</xdr:row>
      <xdr:rowOff>133351</xdr:rowOff>
    </xdr:from>
    <xdr:ext cx="1440180" cy="439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1 CuadroTexto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059180" y="714376"/>
              <a:ext cx="1440180" cy="439992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/>
                          </a:rPr>
                          <m:t>𝑞</m:t>
                        </m:r>
                      </m:e>
                      <m:sub>
                        <m:r>
                          <a:rPr lang="es-PE" sz="1100" b="0" i="1">
                            <a:latin typeface="Cambria Math"/>
                          </a:rPr>
                          <m:t>𝑢</m:t>
                        </m:r>
                      </m:sub>
                    </m:sSub>
                    <m:r>
                      <a:rPr lang="es-PE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100" b="0" i="1">
                                <a:latin typeface="Cambria Math"/>
                              </a:rPr>
                              <m:t>𝑄</m:t>
                            </m:r>
                          </m:e>
                          <m:sub>
                            <m:r>
                              <a:rPr lang="es-PE" sz="1100" b="0" i="1">
                                <a:latin typeface="Cambria Math"/>
                              </a:rPr>
                              <m:t>𝑚h</m:t>
                            </m:r>
                          </m:sub>
                        </m:sSub>
                      </m:num>
                      <m:den>
                        <m:r>
                          <a:rPr lang="es-PE" sz="1100" b="0" i="1">
                            <a:latin typeface="Cambria Math"/>
                          </a:rPr>
                          <m:t>𝐿𝑜𝑛𝑔</m:t>
                        </m:r>
                        <m:r>
                          <a:rPr lang="es-PE" sz="1100" b="0" i="1">
                            <a:latin typeface="Cambria Math"/>
                          </a:rPr>
                          <m:t>.</m:t>
                        </m:r>
                        <m:r>
                          <a:rPr lang="es-PE" sz="1100" b="0" i="1">
                            <a:latin typeface="Cambria Math"/>
                          </a:rPr>
                          <m:t>𝑇𝑜𝑡𝑎𝑙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1 CuadroTexto"/>
            <xdr:cNvSpPr txBox="1"/>
          </xdr:nvSpPr>
          <xdr:spPr>
            <a:xfrm>
              <a:off x="1059180" y="714376"/>
              <a:ext cx="1440180" cy="439992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PE" sz="1100" b="0" i="0">
                  <a:latin typeface="Cambria Math"/>
                </a:rPr>
                <a:t>𝑞_𝑢=𝑄_𝑚ℎ/(𝐿𝑜𝑛𝑔.𝑇𝑜𝑡𝑎𝑙)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6</xdr:col>
      <xdr:colOff>601980</xdr:colOff>
      <xdr:row>3</xdr:row>
      <xdr:rowOff>135890</xdr:rowOff>
    </xdr:from>
    <xdr:ext cx="2080260" cy="410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2 CuadroTexto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4532630" y="834390"/>
              <a:ext cx="2080260" cy="410369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/>
                          </a:rPr>
                          <m:t>𝑞</m:t>
                        </m:r>
                      </m:e>
                      <m:sub>
                        <m:r>
                          <a:rPr lang="es-PE" sz="1100" b="0" i="1">
                            <a:latin typeface="Cambria Math"/>
                          </a:rPr>
                          <m:t>𝑢</m:t>
                        </m:r>
                      </m:sub>
                    </m:sSub>
                    <m:r>
                      <a:rPr lang="es-PE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100" b="0" i="1">
                                <a:latin typeface="Cambria Math"/>
                              </a:rPr>
                              <m:t>𝑄</m:t>
                            </m:r>
                          </m:e>
                          <m:sub>
                            <m:r>
                              <a:rPr lang="es-PE" sz="1100" b="0" i="1">
                                <a:latin typeface="Cambria Math"/>
                              </a:rPr>
                              <m:t>𝑚h</m:t>
                            </m:r>
                          </m:sub>
                        </m:sSub>
                      </m:num>
                      <m:den>
                        <m:r>
                          <a:rPr lang="es-PE" sz="1100" b="0" i="1">
                            <a:latin typeface="Cambria Math"/>
                          </a:rPr>
                          <m:t>𝑁</m:t>
                        </m:r>
                        <m:r>
                          <a:rPr lang="es-PE" sz="1100" b="0" i="1">
                            <a:latin typeface="Cambria Math"/>
                          </a:rPr>
                          <m:t>° </m:t>
                        </m:r>
                        <m:r>
                          <a:rPr lang="es-PE" sz="1100" b="0" i="1">
                            <a:latin typeface="Cambria Math"/>
                          </a:rPr>
                          <m:t>𝑡𝑜𝑡𝑎𝑙</m:t>
                        </m:r>
                        <m:r>
                          <a:rPr lang="es-PE" sz="1100" b="0" i="1">
                            <a:latin typeface="Cambria Math"/>
                          </a:rPr>
                          <m:t> </m:t>
                        </m:r>
                        <m:r>
                          <a:rPr lang="es-PE" sz="1100" b="0" i="1">
                            <a:latin typeface="Cambria Math"/>
                          </a:rPr>
                          <m:t>𝑑𝑒</m:t>
                        </m:r>
                        <m:r>
                          <a:rPr lang="es-PE" sz="1100" b="0" i="1">
                            <a:latin typeface="Cambria Math"/>
                          </a:rPr>
                          <m:t> </m:t>
                        </m:r>
                        <m:r>
                          <a:rPr lang="es-PE" sz="1100" b="0" i="1">
                            <a:latin typeface="Cambria Math"/>
                          </a:rPr>
                          <m:t>𝑅𝑒𝑠𝑖𝑑𝑒𝑛𝑡𝑒𝑠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3" name="2 CuadroTexto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4532630" y="834390"/>
              <a:ext cx="2080260" cy="410369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PE" sz="1100" b="0" i="0">
                  <a:latin typeface="Cambria Math"/>
                </a:rPr>
                <a:t>𝑞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𝑢=𝑄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𝑚ℎ</a:t>
              </a:r>
              <a:r>
                <a:rPr lang="es-PE" sz="1100" b="0" i="0">
                  <a:latin typeface="Cambria Math" panose="02040503050406030204" pitchFamily="18" charset="0"/>
                </a:rPr>
                <a:t>/(</a:t>
              </a:r>
              <a:r>
                <a:rPr lang="es-PE" sz="1100" b="0" i="0">
                  <a:latin typeface="Cambria Math"/>
                </a:rPr>
                <a:t>𝑁° 𝑡𝑜𝑡𝑎𝑙 𝑑𝑒 𝑅𝑒𝑠𝑖𝑑𝑒𝑛𝑡𝑒𝑠</a:t>
              </a:r>
              <a:r>
                <a:rPr lang="es-PE" sz="1100" b="0" i="0">
                  <a:latin typeface="Cambria Math" panose="02040503050406030204" pitchFamily="18" charset="0"/>
                </a:rPr>
                <a:t>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10</xdr:col>
      <xdr:colOff>769620</xdr:colOff>
      <xdr:row>3</xdr:row>
      <xdr:rowOff>121920</xdr:rowOff>
    </xdr:from>
    <xdr:ext cx="144018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3 CuadroTexto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4751070" y="702945"/>
              <a:ext cx="1440180" cy="409215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/>
                          </a:rPr>
                          <m:t>𝑞</m:t>
                        </m:r>
                      </m:e>
                      <m:sub>
                        <m:r>
                          <a:rPr lang="es-PE" sz="1100" b="0" i="1">
                            <a:latin typeface="Cambria Math"/>
                          </a:rPr>
                          <m:t>𝑢</m:t>
                        </m:r>
                      </m:sub>
                    </m:sSub>
                    <m:r>
                      <a:rPr lang="es-PE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100" b="0" i="1">
                                <a:latin typeface="Cambria Math"/>
                              </a:rPr>
                              <m:t>𝑄</m:t>
                            </m:r>
                          </m:e>
                          <m:sub>
                            <m:r>
                              <a:rPr lang="es-PE" sz="1100" b="0" i="1">
                                <a:latin typeface="Cambria Math"/>
                              </a:rPr>
                              <m:t>𝑚h</m:t>
                            </m:r>
                          </m:sub>
                        </m:sSub>
                      </m:num>
                      <m:den>
                        <m:r>
                          <a:rPr lang="es-PE" sz="1100" b="0" i="1">
                            <a:latin typeface="Cambria Math"/>
                          </a:rPr>
                          <m:t>𝑁</m:t>
                        </m:r>
                        <m:r>
                          <a:rPr lang="es-PE" sz="1100" b="0" i="1">
                            <a:latin typeface="Cambria Math"/>
                          </a:rPr>
                          <m:t>° </m:t>
                        </m:r>
                        <m:r>
                          <a:rPr lang="es-PE" sz="1100" b="0" i="1">
                            <a:latin typeface="Cambria Math"/>
                          </a:rPr>
                          <m:t>𝑑𝑒</m:t>
                        </m:r>
                        <m:r>
                          <a:rPr lang="es-PE" sz="1100" b="0" i="1">
                            <a:latin typeface="Cambria Math"/>
                          </a:rPr>
                          <m:t> </m:t>
                        </m:r>
                        <m:r>
                          <a:rPr lang="es-PE" sz="1100" b="0" i="1">
                            <a:latin typeface="Cambria Math"/>
                          </a:rPr>
                          <m:t>𝐿𝑜𝑡𝑒𝑠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4" name="3 CuadroTexto"/>
            <xdr:cNvSpPr txBox="1"/>
          </xdr:nvSpPr>
          <xdr:spPr>
            <a:xfrm>
              <a:off x="4751070" y="702945"/>
              <a:ext cx="1440180" cy="409215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PE" sz="1100" b="0" i="0">
                  <a:latin typeface="Cambria Math"/>
                </a:rPr>
                <a:t>𝑞_𝑢=𝑄_𝑚ℎ/(𝑁° 𝑑𝑒 𝐿𝑜𝑡𝑒𝑠)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2</xdr:col>
      <xdr:colOff>620938</xdr:colOff>
      <xdr:row>32</xdr:row>
      <xdr:rowOff>19050</xdr:rowOff>
    </xdr:from>
    <xdr:to>
      <xdr:col>13</xdr:col>
      <xdr:colOff>450382</xdr:colOff>
      <xdr:row>51</xdr:row>
      <xdr:rowOff>128148</xdr:rowOff>
    </xdr:to>
    <xdr:pic>
      <xdr:nvPicPr>
        <xdr:cNvPr id="5" name="Picture 2" descr="TUBERIAS PVC | DISTRIBUCION E IMPORTACIONES H &amp; C S.R.L.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" t="3603"/>
        <a:stretch/>
      </xdr:blipFill>
      <xdr:spPr bwMode="auto">
        <a:xfrm>
          <a:off x="1744888" y="6534150"/>
          <a:ext cx="6789044" cy="3823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283029</xdr:colOff>
      <xdr:row>4</xdr:row>
      <xdr:rowOff>152400</xdr:rowOff>
    </xdr:from>
    <xdr:to>
      <xdr:col>3</xdr:col>
      <xdr:colOff>279965</xdr:colOff>
      <xdr:row>7</xdr:row>
      <xdr:rowOff>105958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5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283029" y="1034143"/>
              <a:ext cx="1858393" cy="50872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400" b="1" i="1">
                        <a:latin typeface="Cambria Math" panose="02040503050406030204" pitchFamily="18" charset="0"/>
                      </a:rPr>
                      <m:t>𝐕</m:t>
                    </m:r>
                    <m:r>
                      <a:rPr lang="es-PE" sz="14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400" b="1" i="1">
                            <a:latin typeface="Cambria Math" panose="02040503050406030204" pitchFamily="18" charset="0"/>
                          </a:rPr>
                          <m:t>𝟒</m:t>
                        </m:r>
                        <m:r>
                          <a:rPr lang="es-PE" sz="1400" b="1" i="1">
                            <a:latin typeface="Cambria Math" panose="02040503050406030204" pitchFamily="18" charset="0"/>
                          </a:rPr>
                          <m:t>𝑸</m:t>
                        </m:r>
                      </m:num>
                      <m:den>
                        <m:sSup>
                          <m:sSupPr>
                            <m:ctrlPr>
                              <a:rPr lang="es-PE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400" b="1" i="1">
                                <a:latin typeface="Cambria Math" panose="02040503050406030204" pitchFamily="18" charset="0"/>
                              </a:rPr>
                              <m:t>𝑫</m:t>
                            </m:r>
                          </m:e>
                          <m:sup>
                            <m:r>
                              <a:rPr lang="es-PE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  <m:r>
                          <a:rPr lang="es-PE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den>
                    </m:f>
                  </m:oMath>
                </m:oMathPara>
              </a14:m>
              <a:endParaRPr lang="es-PE" sz="1400" b="1"/>
            </a:p>
          </xdr:txBody>
        </xdr:sp>
      </mc:Choice>
      <mc:Fallback xmlns="">
        <xdr:sp macro="" textlink="">
          <xdr:nvSpPr>
            <xdr:cNvPr id="7" name="CuadroTexto 5">
              <a:extLst>
                <a:ext uri="{FF2B5EF4-FFF2-40B4-BE49-F238E27FC236}">
                  <a16:creationId xmlns:a16="http://schemas.microsoft.com/office/drawing/2014/main" id="{19FAAB3F-4760-54C2-E0F0-045F08EDDC8C}"/>
                </a:ext>
              </a:extLst>
            </xdr:cNvPr>
            <xdr:cNvSpPr txBox="1"/>
          </xdr:nvSpPr>
          <xdr:spPr>
            <a:xfrm>
              <a:off x="283029" y="1034143"/>
              <a:ext cx="1858393" cy="50872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PE" sz="1400" b="1" i="0">
                  <a:latin typeface="Cambria Math" panose="02040503050406030204" pitchFamily="18" charset="0"/>
                </a:rPr>
                <a:t>𝐕=𝟒𝑸/(𝑫^𝟐</a:t>
              </a:r>
              <a:r>
                <a:rPr lang="es-PE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𝝅)</a:t>
              </a:r>
              <a:endParaRPr lang="es-PE" sz="1400" b="1"/>
            </a:p>
          </xdr:txBody>
        </xdr:sp>
      </mc:Fallback>
    </mc:AlternateContent>
    <xdr:clientData/>
  </xdr:twoCellAnchor>
  <xdr:twoCellAnchor>
    <xdr:from>
      <xdr:col>21</xdr:col>
      <xdr:colOff>554433</xdr:colOff>
      <xdr:row>5</xdr:row>
      <xdr:rowOff>63421</xdr:rowOff>
    </xdr:from>
    <xdr:to>
      <xdr:col>23</xdr:col>
      <xdr:colOff>148808</xdr:colOff>
      <xdr:row>7</xdr:row>
      <xdr:rowOff>1084</xdr:rowOff>
    </xdr:to>
    <xdr:sp macro="" textlink="">
      <xdr:nvSpPr>
        <xdr:cNvPr id="9" name="CuadroTexto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690033" y="1130221"/>
          <a:ext cx="1183689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400"/>
            <a:t>m</a:t>
          </a:r>
        </a:p>
      </xdr:txBody>
    </xdr:sp>
    <xdr:clientData/>
  </xdr:twoCellAnchor>
  <xdr:twoCellAnchor editAs="oneCell">
    <xdr:from>
      <xdr:col>19</xdr:col>
      <xdr:colOff>200024</xdr:colOff>
      <xdr:row>0</xdr:row>
      <xdr:rowOff>38100</xdr:rowOff>
    </xdr:from>
    <xdr:to>
      <xdr:col>27</xdr:col>
      <xdr:colOff>323933</xdr:colOff>
      <xdr:row>28</xdr:row>
      <xdr:rowOff>163563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903" t="21769" r="20902" b="8833"/>
        <a:stretch/>
      </xdr:blipFill>
      <xdr:spPr>
        <a:xfrm>
          <a:off x="12782549" y="38100"/>
          <a:ext cx="6448509" cy="58595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106680</xdr:colOff>
      <xdr:row>3</xdr:row>
      <xdr:rowOff>133351</xdr:rowOff>
    </xdr:from>
    <xdr:ext cx="1440180" cy="439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1 CuadroTexto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606040" y="826771"/>
              <a:ext cx="1440180" cy="439992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/>
                          </a:rPr>
                          <m:t>𝑞</m:t>
                        </m:r>
                      </m:e>
                      <m:sub>
                        <m:r>
                          <a:rPr lang="es-PE" sz="1100" b="0" i="1">
                            <a:latin typeface="Cambria Math"/>
                          </a:rPr>
                          <m:t>𝑢</m:t>
                        </m:r>
                      </m:sub>
                    </m:sSub>
                    <m:r>
                      <a:rPr lang="es-PE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100" b="0" i="1">
                                <a:latin typeface="Cambria Math"/>
                              </a:rPr>
                              <m:t>𝑄</m:t>
                            </m:r>
                          </m:e>
                          <m:sub>
                            <m:r>
                              <a:rPr lang="es-PE" sz="1100" b="0" i="1">
                                <a:latin typeface="Cambria Math"/>
                              </a:rPr>
                              <m:t>𝑚h</m:t>
                            </m:r>
                          </m:sub>
                        </m:sSub>
                      </m:num>
                      <m:den>
                        <m:r>
                          <a:rPr lang="es-PE" sz="1100" b="0" i="1">
                            <a:latin typeface="Cambria Math"/>
                          </a:rPr>
                          <m:t>𝐿𝑜𝑛𝑔</m:t>
                        </m:r>
                        <m:r>
                          <a:rPr lang="es-PE" sz="1100" b="0" i="1">
                            <a:latin typeface="Cambria Math"/>
                          </a:rPr>
                          <m:t>.</m:t>
                        </m:r>
                        <m:r>
                          <a:rPr lang="es-PE" sz="1100" b="0" i="1">
                            <a:latin typeface="Cambria Math"/>
                          </a:rPr>
                          <m:t>𝑇𝑜𝑡𝑎𝑙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1 CuadroTexto">
              <a:extLst>
                <a:ext uri="{FF2B5EF4-FFF2-40B4-BE49-F238E27FC236}">
                  <a16:creationId xmlns:a16="http://schemas.microsoft.com/office/drawing/2014/main" id="{D19DC51D-3467-4398-A945-C19740DFA713}"/>
                </a:ext>
              </a:extLst>
            </xdr:cNvPr>
            <xdr:cNvSpPr txBox="1"/>
          </xdr:nvSpPr>
          <xdr:spPr>
            <a:xfrm>
              <a:off x="2606040" y="826771"/>
              <a:ext cx="1440180" cy="439992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PE" sz="1100" b="0" i="0">
                  <a:latin typeface="Cambria Math"/>
                </a:rPr>
                <a:t>𝑞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𝑢=𝑄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𝑚ℎ</a:t>
              </a:r>
              <a:r>
                <a:rPr lang="es-PE" sz="1100" b="0" i="0">
                  <a:latin typeface="Cambria Math" panose="02040503050406030204" pitchFamily="18" charset="0"/>
                </a:rPr>
                <a:t>/(</a:t>
              </a:r>
              <a:r>
                <a:rPr lang="es-PE" sz="1100" b="0" i="0">
                  <a:latin typeface="Cambria Math"/>
                </a:rPr>
                <a:t>𝐿𝑜𝑛𝑔.𝑇𝑜𝑡𝑎𝑙</a:t>
              </a:r>
              <a:r>
                <a:rPr lang="es-PE" sz="1100" b="0" i="0">
                  <a:latin typeface="Cambria Math" panose="02040503050406030204" pitchFamily="18" charset="0"/>
                </a:rPr>
                <a:t>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6</xdr:col>
      <xdr:colOff>106680</xdr:colOff>
      <xdr:row>3</xdr:row>
      <xdr:rowOff>129540</xdr:rowOff>
    </xdr:from>
    <xdr:ext cx="2080260" cy="410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2 CuadroTexto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4038600" y="822960"/>
              <a:ext cx="2080260" cy="410369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/>
                          </a:rPr>
                          <m:t>𝑞</m:t>
                        </m:r>
                      </m:e>
                      <m:sub>
                        <m:r>
                          <a:rPr lang="es-PE" sz="1100" b="0" i="1">
                            <a:latin typeface="Cambria Math"/>
                          </a:rPr>
                          <m:t>𝑢</m:t>
                        </m:r>
                      </m:sub>
                    </m:sSub>
                    <m:r>
                      <a:rPr lang="es-PE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100" b="0" i="1">
                                <a:latin typeface="Cambria Math"/>
                              </a:rPr>
                              <m:t>𝑄</m:t>
                            </m:r>
                          </m:e>
                          <m:sub>
                            <m:r>
                              <a:rPr lang="es-PE" sz="1100" b="0" i="1">
                                <a:latin typeface="Cambria Math"/>
                              </a:rPr>
                              <m:t>𝑚h</m:t>
                            </m:r>
                          </m:sub>
                        </m:sSub>
                      </m:num>
                      <m:den>
                        <m:r>
                          <a:rPr lang="es-PE" sz="1100" b="0" i="1">
                            <a:latin typeface="Cambria Math"/>
                          </a:rPr>
                          <m:t>𝑁</m:t>
                        </m:r>
                        <m:r>
                          <a:rPr lang="es-PE" sz="1100" b="0" i="1">
                            <a:latin typeface="Cambria Math"/>
                          </a:rPr>
                          <m:t>° </m:t>
                        </m:r>
                        <m:r>
                          <a:rPr lang="es-PE" sz="1100" b="0" i="1">
                            <a:latin typeface="Cambria Math"/>
                          </a:rPr>
                          <m:t>𝑡𝑜𝑡𝑎𝑙</m:t>
                        </m:r>
                        <m:r>
                          <a:rPr lang="es-PE" sz="1100" b="0" i="1">
                            <a:latin typeface="Cambria Math"/>
                          </a:rPr>
                          <m:t> </m:t>
                        </m:r>
                        <m:r>
                          <a:rPr lang="es-PE" sz="1100" b="0" i="1">
                            <a:latin typeface="Cambria Math"/>
                          </a:rPr>
                          <m:t>𝑑𝑒</m:t>
                        </m:r>
                        <m:r>
                          <a:rPr lang="es-PE" sz="1100" b="0" i="1">
                            <a:latin typeface="Cambria Math"/>
                          </a:rPr>
                          <m:t> </m:t>
                        </m:r>
                        <m:r>
                          <a:rPr lang="es-PE" sz="1100" b="0" i="1">
                            <a:latin typeface="Cambria Math"/>
                          </a:rPr>
                          <m:t>𝑅𝑒𝑠𝑖𝑑𝑒𝑛𝑡𝑒𝑠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3" name="2 CuadroTexto">
              <a:extLst>
                <a:ext uri="{FF2B5EF4-FFF2-40B4-BE49-F238E27FC236}">
                  <a16:creationId xmlns:a16="http://schemas.microsoft.com/office/drawing/2014/main" id="{18BF0645-E468-4B54-B06A-832BEAEE9E70}"/>
                </a:ext>
              </a:extLst>
            </xdr:cNvPr>
            <xdr:cNvSpPr txBox="1"/>
          </xdr:nvSpPr>
          <xdr:spPr>
            <a:xfrm>
              <a:off x="4038600" y="822960"/>
              <a:ext cx="2080260" cy="410369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PE" sz="1100" b="0" i="0">
                  <a:latin typeface="Cambria Math"/>
                </a:rPr>
                <a:t>𝑞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𝑢=𝑄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𝑚ℎ</a:t>
              </a:r>
              <a:r>
                <a:rPr lang="es-PE" sz="1100" b="0" i="0">
                  <a:latin typeface="Cambria Math" panose="02040503050406030204" pitchFamily="18" charset="0"/>
                </a:rPr>
                <a:t>/(</a:t>
              </a:r>
              <a:r>
                <a:rPr lang="es-PE" sz="1100" b="0" i="0">
                  <a:latin typeface="Cambria Math"/>
                </a:rPr>
                <a:t>𝑁° 𝑡𝑜𝑡𝑎𝑙 𝑑𝑒 𝑅𝑒𝑠𝑖𝑑𝑒𝑛𝑡𝑒𝑠</a:t>
              </a:r>
              <a:r>
                <a:rPr lang="es-PE" sz="1100" b="0" i="0">
                  <a:latin typeface="Cambria Math" panose="02040503050406030204" pitchFamily="18" charset="0"/>
                </a:rPr>
                <a:t>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10</xdr:col>
      <xdr:colOff>769620</xdr:colOff>
      <xdr:row>3</xdr:row>
      <xdr:rowOff>121920</xdr:rowOff>
    </xdr:from>
    <xdr:ext cx="144018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3 CuadroTexto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6774180" y="815340"/>
              <a:ext cx="1440180" cy="409215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>
                            <a:latin typeface="Cambria Math"/>
                          </a:rPr>
                          <m:t>𝑞</m:t>
                        </m:r>
                      </m:e>
                      <m:sub>
                        <m:r>
                          <a:rPr lang="es-PE" sz="1100" b="0" i="1">
                            <a:latin typeface="Cambria Math"/>
                          </a:rPr>
                          <m:t>𝑢</m:t>
                        </m:r>
                      </m:sub>
                    </m:sSub>
                    <m:r>
                      <a:rPr lang="es-PE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PE" sz="1100" b="0" i="1">
                                <a:latin typeface="Cambria Math"/>
                              </a:rPr>
                              <m:t>𝑄</m:t>
                            </m:r>
                          </m:e>
                          <m:sub>
                            <m:r>
                              <a:rPr lang="es-PE" sz="1100" b="0" i="1">
                                <a:latin typeface="Cambria Math"/>
                              </a:rPr>
                              <m:t>𝑚h</m:t>
                            </m:r>
                          </m:sub>
                        </m:sSub>
                      </m:num>
                      <m:den>
                        <m:r>
                          <a:rPr lang="es-PE" sz="1100" b="0" i="1">
                            <a:latin typeface="Cambria Math"/>
                          </a:rPr>
                          <m:t>𝑁</m:t>
                        </m:r>
                        <m:r>
                          <a:rPr lang="es-PE" sz="1100" b="0" i="1">
                            <a:latin typeface="Cambria Math"/>
                          </a:rPr>
                          <m:t>° </m:t>
                        </m:r>
                        <m:r>
                          <a:rPr lang="es-PE" sz="1100" b="0" i="1">
                            <a:latin typeface="Cambria Math"/>
                          </a:rPr>
                          <m:t>𝑑𝑒</m:t>
                        </m:r>
                        <m:r>
                          <a:rPr lang="es-PE" sz="1100" b="0" i="1">
                            <a:latin typeface="Cambria Math"/>
                          </a:rPr>
                          <m:t> </m:t>
                        </m:r>
                        <m:r>
                          <a:rPr lang="es-PE" sz="1100" b="0" i="1">
                            <a:latin typeface="Cambria Math"/>
                          </a:rPr>
                          <m:t>𝐿𝑜𝑡𝑒𝑠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4" name="3 CuadroTexto">
              <a:extLst>
                <a:ext uri="{FF2B5EF4-FFF2-40B4-BE49-F238E27FC236}">
                  <a16:creationId xmlns:a16="http://schemas.microsoft.com/office/drawing/2014/main" id="{6BFBF1E5-EED8-480F-B351-B813F2C90A0D}"/>
                </a:ext>
              </a:extLst>
            </xdr:cNvPr>
            <xdr:cNvSpPr txBox="1"/>
          </xdr:nvSpPr>
          <xdr:spPr>
            <a:xfrm>
              <a:off x="6774180" y="815340"/>
              <a:ext cx="1440180" cy="409215"/>
            </a:xfrm>
            <a:prstGeom prst="rect">
              <a:avLst/>
            </a:prstGeom>
            <a:noFill/>
            <a:ln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PE" sz="1100" b="0" i="0">
                  <a:latin typeface="Cambria Math"/>
                </a:rPr>
                <a:t>𝑞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𝑢=𝑄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PE" sz="1100" b="0" i="0">
                  <a:latin typeface="Cambria Math"/>
                </a:rPr>
                <a:t>𝑚ℎ</a:t>
              </a:r>
              <a:r>
                <a:rPr lang="es-PE" sz="1100" b="0" i="0">
                  <a:latin typeface="Cambria Math" panose="02040503050406030204" pitchFamily="18" charset="0"/>
                </a:rPr>
                <a:t>/(</a:t>
              </a:r>
              <a:r>
                <a:rPr lang="es-PE" sz="1100" b="0" i="0">
                  <a:latin typeface="Cambria Math"/>
                </a:rPr>
                <a:t>𝑁° 𝑑𝑒 𝐿𝑜𝑡𝑒𝑠</a:t>
              </a:r>
              <a:r>
                <a:rPr lang="es-PE" sz="1100" b="0" i="0">
                  <a:latin typeface="Cambria Math" panose="02040503050406030204" pitchFamily="18" charset="0"/>
                </a:rPr>
                <a:t>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2</xdr:col>
      <xdr:colOff>544325</xdr:colOff>
      <xdr:row>32</xdr:row>
      <xdr:rowOff>11101</xdr:rowOff>
    </xdr:from>
    <xdr:to>
      <xdr:col>13</xdr:col>
      <xdr:colOff>168652</xdr:colOff>
      <xdr:row>43</xdr:row>
      <xdr:rowOff>140677</xdr:rowOff>
    </xdr:to>
    <xdr:pic>
      <xdr:nvPicPr>
        <xdr:cNvPr id="5" name="Picture 2" descr="TUBERIAS PVC | DISTRIBUCION E IMPORTACIONES H &amp; C S.R.L.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" t="3603" b="38129"/>
        <a:stretch>
          <a:fillRect/>
        </a:stretch>
      </xdr:blipFill>
      <xdr:spPr bwMode="auto">
        <a:xfrm>
          <a:off x="1675602" y="6558439"/>
          <a:ext cx="6693928" cy="2321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478972</xdr:colOff>
      <xdr:row>5</xdr:row>
      <xdr:rowOff>10886</xdr:rowOff>
    </xdr:from>
    <xdr:to>
      <xdr:col>3</xdr:col>
      <xdr:colOff>475908</xdr:colOff>
      <xdr:row>7</xdr:row>
      <xdr:rowOff>149501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478972" y="1077686"/>
              <a:ext cx="1858393" cy="50872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400" b="1" i="1">
                        <a:latin typeface="Cambria Math" panose="02040503050406030204" pitchFamily="18" charset="0"/>
                      </a:rPr>
                      <m:t>𝐕</m:t>
                    </m:r>
                    <m:r>
                      <a:rPr lang="es-PE" sz="14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400" b="1" i="1">
                            <a:latin typeface="Cambria Math" panose="02040503050406030204" pitchFamily="18" charset="0"/>
                          </a:rPr>
                          <m:t>𝟒</m:t>
                        </m:r>
                        <m:r>
                          <a:rPr lang="es-PE" sz="1400" b="1" i="1">
                            <a:latin typeface="Cambria Math" panose="02040503050406030204" pitchFamily="18" charset="0"/>
                          </a:rPr>
                          <m:t>𝑸</m:t>
                        </m:r>
                      </m:num>
                      <m:den>
                        <m:sSup>
                          <m:sSupPr>
                            <m:ctrlPr>
                              <a:rPr lang="es-PE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400" b="1" i="1">
                                <a:latin typeface="Cambria Math" panose="02040503050406030204" pitchFamily="18" charset="0"/>
                              </a:rPr>
                              <m:t>𝑫</m:t>
                            </m:r>
                          </m:e>
                          <m:sup>
                            <m:r>
                              <a:rPr lang="es-PE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  <m:r>
                          <a:rPr lang="es-PE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den>
                    </m:f>
                  </m:oMath>
                </m:oMathPara>
              </a14:m>
              <a:endParaRPr lang="es-PE" sz="1400" b="1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781A166-ABC1-4BFE-8638-DB192DC7177B}"/>
                </a:ext>
              </a:extLst>
            </xdr:cNvPr>
            <xdr:cNvSpPr txBox="1"/>
          </xdr:nvSpPr>
          <xdr:spPr>
            <a:xfrm>
              <a:off x="478972" y="1077686"/>
              <a:ext cx="1858393" cy="50872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PE" sz="1400" b="1" i="0">
                  <a:latin typeface="Cambria Math" panose="02040503050406030204" pitchFamily="18" charset="0"/>
                </a:rPr>
                <a:t>𝐕=𝟒𝑸/(𝑫^𝟐</a:t>
              </a:r>
              <a:r>
                <a:rPr lang="es-PE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𝝅)</a:t>
              </a:r>
              <a:endParaRPr lang="es-PE" sz="1400" b="1"/>
            </a:p>
          </xdr:txBody>
        </xdr:sp>
      </mc:Fallback>
    </mc:AlternateContent>
    <xdr:clientData/>
  </xdr:twoCellAnchor>
  <xdr:twoCellAnchor>
    <xdr:from>
      <xdr:col>21</xdr:col>
      <xdr:colOff>554433</xdr:colOff>
      <xdr:row>5</xdr:row>
      <xdr:rowOff>63421</xdr:rowOff>
    </xdr:from>
    <xdr:to>
      <xdr:col>23</xdr:col>
      <xdr:colOff>148808</xdr:colOff>
      <xdr:row>7</xdr:row>
      <xdr:rowOff>1084</xdr:rowOff>
    </xdr:to>
    <xdr:sp macro="" textlink="">
      <xdr:nvSpPr>
        <xdr:cNvPr id="7" name="CuadroTexto 1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4552373" y="1122601"/>
          <a:ext cx="1179335" cy="3034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400"/>
            <a:t>m</a:t>
          </a:r>
        </a:p>
      </xdr:txBody>
    </xdr:sp>
    <xdr:clientData/>
  </xdr:twoCellAnchor>
  <xdr:twoCellAnchor editAs="oneCell">
    <xdr:from>
      <xdr:col>15</xdr:col>
      <xdr:colOff>779581</xdr:colOff>
      <xdr:row>18</xdr:row>
      <xdr:rowOff>146540</xdr:rowOff>
    </xdr:from>
    <xdr:to>
      <xdr:col>23</xdr:col>
      <xdr:colOff>210362</xdr:colOff>
      <xdr:row>37</xdr:row>
      <xdr:rowOff>1279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903" t="21769" r="20902" b="8833"/>
        <a:stretch/>
      </xdr:blipFill>
      <xdr:spPr>
        <a:xfrm>
          <a:off x="9876689" y="3897925"/>
          <a:ext cx="5925365" cy="3685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C476-8D4C-440D-BF45-CDEEF480795B}">
  <sheetPr transitionEvaluation="1">
    <tabColor rgb="FF00B050"/>
    <pageSetUpPr fitToPage="1"/>
  </sheetPr>
  <dimension ref="A1:T188"/>
  <sheetViews>
    <sheetView showGridLines="0" view="pageBreakPreview" zoomScale="80" zoomScaleNormal="70" zoomScaleSheetLayoutView="80" workbookViewId="0">
      <selection activeCell="M52" sqref="M52"/>
    </sheetView>
  </sheetViews>
  <sheetFormatPr baseColWidth="10" defaultColWidth="12" defaultRowHeight="15.6"/>
  <cols>
    <col min="1" max="1" width="1.5546875" style="82" customWidth="1"/>
    <col min="2" max="2" width="30.21875" style="120" customWidth="1"/>
    <col min="3" max="7" width="17.33203125" style="82" customWidth="1"/>
    <col min="8" max="8" width="17.33203125" style="118" customWidth="1"/>
    <col min="9" max="10" width="17.33203125" style="82" customWidth="1"/>
    <col min="11" max="11" width="23.6640625" style="82" customWidth="1"/>
    <col min="12" max="13" width="17.33203125" style="82" customWidth="1"/>
    <col min="14" max="14" width="12.88671875" style="82" customWidth="1"/>
    <col min="15" max="15" width="8.5546875" style="82" customWidth="1"/>
    <col min="16" max="16" width="12" style="82"/>
    <col min="17" max="17" width="15.6640625" style="82" customWidth="1"/>
    <col min="18" max="256" width="12" style="82"/>
    <col min="257" max="257" width="4.44140625" style="82" customWidth="1"/>
    <col min="258" max="258" width="40.21875" style="82" customWidth="1"/>
    <col min="259" max="259" width="12" style="82"/>
    <col min="260" max="260" width="14.6640625" style="82" customWidth="1"/>
    <col min="261" max="261" width="12" style="82"/>
    <col min="262" max="262" width="12.33203125" style="82" customWidth="1"/>
    <col min="263" max="263" width="15.21875" style="82" customWidth="1"/>
    <col min="264" max="265" width="12" style="82"/>
    <col min="266" max="266" width="9" style="82" customWidth="1"/>
    <col min="267" max="267" width="12" style="82"/>
    <col min="268" max="268" width="10.5546875" style="82" customWidth="1"/>
    <col min="269" max="269" width="12" style="82"/>
    <col min="270" max="270" width="12.88671875" style="82" customWidth="1"/>
    <col min="271" max="271" width="8.5546875" style="82" customWidth="1"/>
    <col min="272" max="512" width="12" style="82"/>
    <col min="513" max="513" width="4.44140625" style="82" customWidth="1"/>
    <col min="514" max="514" width="40.21875" style="82" customWidth="1"/>
    <col min="515" max="515" width="12" style="82"/>
    <col min="516" max="516" width="14.6640625" style="82" customWidth="1"/>
    <col min="517" max="517" width="12" style="82"/>
    <col min="518" max="518" width="12.33203125" style="82" customWidth="1"/>
    <col min="519" max="519" width="15.21875" style="82" customWidth="1"/>
    <col min="520" max="521" width="12" style="82"/>
    <col min="522" max="522" width="9" style="82" customWidth="1"/>
    <col min="523" max="523" width="12" style="82"/>
    <col min="524" max="524" width="10.5546875" style="82" customWidth="1"/>
    <col min="525" max="525" width="12" style="82"/>
    <col min="526" max="526" width="12.88671875" style="82" customWidth="1"/>
    <col min="527" max="527" width="8.5546875" style="82" customWidth="1"/>
    <col min="528" max="768" width="12" style="82"/>
    <col min="769" max="769" width="4.44140625" style="82" customWidth="1"/>
    <col min="770" max="770" width="40.21875" style="82" customWidth="1"/>
    <col min="771" max="771" width="12" style="82"/>
    <col min="772" max="772" width="14.6640625" style="82" customWidth="1"/>
    <col min="773" max="773" width="12" style="82"/>
    <col min="774" max="774" width="12.33203125" style="82" customWidth="1"/>
    <col min="775" max="775" width="15.21875" style="82" customWidth="1"/>
    <col min="776" max="777" width="12" style="82"/>
    <col min="778" max="778" width="9" style="82" customWidth="1"/>
    <col min="779" max="779" width="12" style="82"/>
    <col min="780" max="780" width="10.5546875" style="82" customWidth="1"/>
    <col min="781" max="781" width="12" style="82"/>
    <col min="782" max="782" width="12.88671875" style="82" customWidth="1"/>
    <col min="783" max="783" width="8.5546875" style="82" customWidth="1"/>
    <col min="784" max="1024" width="12" style="82"/>
    <col min="1025" max="1025" width="4.44140625" style="82" customWidth="1"/>
    <col min="1026" max="1026" width="40.21875" style="82" customWidth="1"/>
    <col min="1027" max="1027" width="12" style="82"/>
    <col min="1028" max="1028" width="14.6640625" style="82" customWidth="1"/>
    <col min="1029" max="1029" width="12" style="82"/>
    <col min="1030" max="1030" width="12.33203125" style="82" customWidth="1"/>
    <col min="1031" max="1031" width="15.21875" style="82" customWidth="1"/>
    <col min="1032" max="1033" width="12" style="82"/>
    <col min="1034" max="1034" width="9" style="82" customWidth="1"/>
    <col min="1035" max="1035" width="12" style="82"/>
    <col min="1036" max="1036" width="10.5546875" style="82" customWidth="1"/>
    <col min="1037" max="1037" width="12" style="82"/>
    <col min="1038" max="1038" width="12.88671875" style="82" customWidth="1"/>
    <col min="1039" max="1039" width="8.5546875" style="82" customWidth="1"/>
    <col min="1040" max="1280" width="12" style="82"/>
    <col min="1281" max="1281" width="4.44140625" style="82" customWidth="1"/>
    <col min="1282" max="1282" width="40.21875" style="82" customWidth="1"/>
    <col min="1283" max="1283" width="12" style="82"/>
    <col min="1284" max="1284" width="14.6640625" style="82" customWidth="1"/>
    <col min="1285" max="1285" width="12" style="82"/>
    <col min="1286" max="1286" width="12.33203125" style="82" customWidth="1"/>
    <col min="1287" max="1287" width="15.21875" style="82" customWidth="1"/>
    <col min="1288" max="1289" width="12" style="82"/>
    <col min="1290" max="1290" width="9" style="82" customWidth="1"/>
    <col min="1291" max="1291" width="12" style="82"/>
    <col min="1292" max="1292" width="10.5546875" style="82" customWidth="1"/>
    <col min="1293" max="1293" width="12" style="82"/>
    <col min="1294" max="1294" width="12.88671875" style="82" customWidth="1"/>
    <col min="1295" max="1295" width="8.5546875" style="82" customWidth="1"/>
    <col min="1296" max="1536" width="12" style="82"/>
    <col min="1537" max="1537" width="4.44140625" style="82" customWidth="1"/>
    <col min="1538" max="1538" width="40.21875" style="82" customWidth="1"/>
    <col min="1539" max="1539" width="12" style="82"/>
    <col min="1540" max="1540" width="14.6640625" style="82" customWidth="1"/>
    <col min="1541" max="1541" width="12" style="82"/>
    <col min="1542" max="1542" width="12.33203125" style="82" customWidth="1"/>
    <col min="1543" max="1543" width="15.21875" style="82" customWidth="1"/>
    <col min="1544" max="1545" width="12" style="82"/>
    <col min="1546" max="1546" width="9" style="82" customWidth="1"/>
    <col min="1547" max="1547" width="12" style="82"/>
    <col min="1548" max="1548" width="10.5546875" style="82" customWidth="1"/>
    <col min="1549" max="1549" width="12" style="82"/>
    <col min="1550" max="1550" width="12.88671875" style="82" customWidth="1"/>
    <col min="1551" max="1551" width="8.5546875" style="82" customWidth="1"/>
    <col min="1552" max="1792" width="12" style="82"/>
    <col min="1793" max="1793" width="4.44140625" style="82" customWidth="1"/>
    <col min="1794" max="1794" width="40.21875" style="82" customWidth="1"/>
    <col min="1795" max="1795" width="12" style="82"/>
    <col min="1796" max="1796" width="14.6640625" style="82" customWidth="1"/>
    <col min="1797" max="1797" width="12" style="82"/>
    <col min="1798" max="1798" width="12.33203125" style="82" customWidth="1"/>
    <col min="1799" max="1799" width="15.21875" style="82" customWidth="1"/>
    <col min="1800" max="1801" width="12" style="82"/>
    <col min="1802" max="1802" width="9" style="82" customWidth="1"/>
    <col min="1803" max="1803" width="12" style="82"/>
    <col min="1804" max="1804" width="10.5546875" style="82" customWidth="1"/>
    <col min="1805" max="1805" width="12" style="82"/>
    <col min="1806" max="1806" width="12.88671875" style="82" customWidth="1"/>
    <col min="1807" max="1807" width="8.5546875" style="82" customWidth="1"/>
    <col min="1808" max="2048" width="12" style="82"/>
    <col min="2049" max="2049" width="4.44140625" style="82" customWidth="1"/>
    <col min="2050" max="2050" width="40.21875" style="82" customWidth="1"/>
    <col min="2051" max="2051" width="12" style="82"/>
    <col min="2052" max="2052" width="14.6640625" style="82" customWidth="1"/>
    <col min="2053" max="2053" width="12" style="82"/>
    <col min="2054" max="2054" width="12.33203125" style="82" customWidth="1"/>
    <col min="2055" max="2055" width="15.21875" style="82" customWidth="1"/>
    <col min="2056" max="2057" width="12" style="82"/>
    <col min="2058" max="2058" width="9" style="82" customWidth="1"/>
    <col min="2059" max="2059" width="12" style="82"/>
    <col min="2060" max="2060" width="10.5546875" style="82" customWidth="1"/>
    <col min="2061" max="2061" width="12" style="82"/>
    <col min="2062" max="2062" width="12.88671875" style="82" customWidth="1"/>
    <col min="2063" max="2063" width="8.5546875" style="82" customWidth="1"/>
    <col min="2064" max="2304" width="12" style="82"/>
    <col min="2305" max="2305" width="4.44140625" style="82" customWidth="1"/>
    <col min="2306" max="2306" width="40.21875" style="82" customWidth="1"/>
    <col min="2307" max="2307" width="12" style="82"/>
    <col min="2308" max="2308" width="14.6640625" style="82" customWidth="1"/>
    <col min="2309" max="2309" width="12" style="82"/>
    <col min="2310" max="2310" width="12.33203125" style="82" customWidth="1"/>
    <col min="2311" max="2311" width="15.21875" style="82" customWidth="1"/>
    <col min="2312" max="2313" width="12" style="82"/>
    <col min="2314" max="2314" width="9" style="82" customWidth="1"/>
    <col min="2315" max="2315" width="12" style="82"/>
    <col min="2316" max="2316" width="10.5546875" style="82" customWidth="1"/>
    <col min="2317" max="2317" width="12" style="82"/>
    <col min="2318" max="2318" width="12.88671875" style="82" customWidth="1"/>
    <col min="2319" max="2319" width="8.5546875" style="82" customWidth="1"/>
    <col min="2320" max="2560" width="12" style="82"/>
    <col min="2561" max="2561" width="4.44140625" style="82" customWidth="1"/>
    <col min="2562" max="2562" width="40.21875" style="82" customWidth="1"/>
    <col min="2563" max="2563" width="12" style="82"/>
    <col min="2564" max="2564" width="14.6640625" style="82" customWidth="1"/>
    <col min="2565" max="2565" width="12" style="82"/>
    <col min="2566" max="2566" width="12.33203125" style="82" customWidth="1"/>
    <col min="2567" max="2567" width="15.21875" style="82" customWidth="1"/>
    <col min="2568" max="2569" width="12" style="82"/>
    <col min="2570" max="2570" width="9" style="82" customWidth="1"/>
    <col min="2571" max="2571" width="12" style="82"/>
    <col min="2572" max="2572" width="10.5546875" style="82" customWidth="1"/>
    <col min="2573" max="2573" width="12" style="82"/>
    <col min="2574" max="2574" width="12.88671875" style="82" customWidth="1"/>
    <col min="2575" max="2575" width="8.5546875" style="82" customWidth="1"/>
    <col min="2576" max="2816" width="12" style="82"/>
    <col min="2817" max="2817" width="4.44140625" style="82" customWidth="1"/>
    <col min="2818" max="2818" width="40.21875" style="82" customWidth="1"/>
    <col min="2819" max="2819" width="12" style="82"/>
    <col min="2820" max="2820" width="14.6640625" style="82" customWidth="1"/>
    <col min="2821" max="2821" width="12" style="82"/>
    <col min="2822" max="2822" width="12.33203125" style="82" customWidth="1"/>
    <col min="2823" max="2823" width="15.21875" style="82" customWidth="1"/>
    <col min="2824" max="2825" width="12" style="82"/>
    <col min="2826" max="2826" width="9" style="82" customWidth="1"/>
    <col min="2827" max="2827" width="12" style="82"/>
    <col min="2828" max="2828" width="10.5546875" style="82" customWidth="1"/>
    <col min="2829" max="2829" width="12" style="82"/>
    <col min="2830" max="2830" width="12.88671875" style="82" customWidth="1"/>
    <col min="2831" max="2831" width="8.5546875" style="82" customWidth="1"/>
    <col min="2832" max="3072" width="12" style="82"/>
    <col min="3073" max="3073" width="4.44140625" style="82" customWidth="1"/>
    <col min="3074" max="3074" width="40.21875" style="82" customWidth="1"/>
    <col min="3075" max="3075" width="12" style="82"/>
    <col min="3076" max="3076" width="14.6640625" style="82" customWidth="1"/>
    <col min="3077" max="3077" width="12" style="82"/>
    <col min="3078" max="3078" width="12.33203125" style="82" customWidth="1"/>
    <col min="3079" max="3079" width="15.21875" style="82" customWidth="1"/>
    <col min="3080" max="3081" width="12" style="82"/>
    <col min="3082" max="3082" width="9" style="82" customWidth="1"/>
    <col min="3083" max="3083" width="12" style="82"/>
    <col min="3084" max="3084" width="10.5546875" style="82" customWidth="1"/>
    <col min="3085" max="3085" width="12" style="82"/>
    <col min="3086" max="3086" width="12.88671875" style="82" customWidth="1"/>
    <col min="3087" max="3087" width="8.5546875" style="82" customWidth="1"/>
    <col min="3088" max="3328" width="12" style="82"/>
    <col min="3329" max="3329" width="4.44140625" style="82" customWidth="1"/>
    <col min="3330" max="3330" width="40.21875" style="82" customWidth="1"/>
    <col min="3331" max="3331" width="12" style="82"/>
    <col min="3332" max="3332" width="14.6640625" style="82" customWidth="1"/>
    <col min="3333" max="3333" width="12" style="82"/>
    <col min="3334" max="3334" width="12.33203125" style="82" customWidth="1"/>
    <col min="3335" max="3335" width="15.21875" style="82" customWidth="1"/>
    <col min="3336" max="3337" width="12" style="82"/>
    <col min="3338" max="3338" width="9" style="82" customWidth="1"/>
    <col min="3339" max="3339" width="12" style="82"/>
    <col min="3340" max="3340" width="10.5546875" style="82" customWidth="1"/>
    <col min="3341" max="3341" width="12" style="82"/>
    <col min="3342" max="3342" width="12.88671875" style="82" customWidth="1"/>
    <col min="3343" max="3343" width="8.5546875" style="82" customWidth="1"/>
    <col min="3344" max="3584" width="12" style="82"/>
    <col min="3585" max="3585" width="4.44140625" style="82" customWidth="1"/>
    <col min="3586" max="3586" width="40.21875" style="82" customWidth="1"/>
    <col min="3587" max="3587" width="12" style="82"/>
    <col min="3588" max="3588" width="14.6640625" style="82" customWidth="1"/>
    <col min="3589" max="3589" width="12" style="82"/>
    <col min="3590" max="3590" width="12.33203125" style="82" customWidth="1"/>
    <col min="3591" max="3591" width="15.21875" style="82" customWidth="1"/>
    <col min="3592" max="3593" width="12" style="82"/>
    <col min="3594" max="3594" width="9" style="82" customWidth="1"/>
    <col min="3595" max="3595" width="12" style="82"/>
    <col min="3596" max="3596" width="10.5546875" style="82" customWidth="1"/>
    <col min="3597" max="3597" width="12" style="82"/>
    <col min="3598" max="3598" width="12.88671875" style="82" customWidth="1"/>
    <col min="3599" max="3599" width="8.5546875" style="82" customWidth="1"/>
    <col min="3600" max="3840" width="12" style="82"/>
    <col min="3841" max="3841" width="4.44140625" style="82" customWidth="1"/>
    <col min="3842" max="3842" width="40.21875" style="82" customWidth="1"/>
    <col min="3843" max="3843" width="12" style="82"/>
    <col min="3844" max="3844" width="14.6640625" style="82" customWidth="1"/>
    <col min="3845" max="3845" width="12" style="82"/>
    <col min="3846" max="3846" width="12.33203125" style="82" customWidth="1"/>
    <col min="3847" max="3847" width="15.21875" style="82" customWidth="1"/>
    <col min="3848" max="3849" width="12" style="82"/>
    <col min="3850" max="3850" width="9" style="82" customWidth="1"/>
    <col min="3851" max="3851" width="12" style="82"/>
    <col min="3852" max="3852" width="10.5546875" style="82" customWidth="1"/>
    <col min="3853" max="3853" width="12" style="82"/>
    <col min="3854" max="3854" width="12.88671875" style="82" customWidth="1"/>
    <col min="3855" max="3855" width="8.5546875" style="82" customWidth="1"/>
    <col min="3856" max="4096" width="12" style="82"/>
    <col min="4097" max="4097" width="4.44140625" style="82" customWidth="1"/>
    <col min="4098" max="4098" width="40.21875" style="82" customWidth="1"/>
    <col min="4099" max="4099" width="12" style="82"/>
    <col min="4100" max="4100" width="14.6640625" style="82" customWidth="1"/>
    <col min="4101" max="4101" width="12" style="82"/>
    <col min="4102" max="4102" width="12.33203125" style="82" customWidth="1"/>
    <col min="4103" max="4103" width="15.21875" style="82" customWidth="1"/>
    <col min="4104" max="4105" width="12" style="82"/>
    <col min="4106" max="4106" width="9" style="82" customWidth="1"/>
    <col min="4107" max="4107" width="12" style="82"/>
    <col min="4108" max="4108" width="10.5546875" style="82" customWidth="1"/>
    <col min="4109" max="4109" width="12" style="82"/>
    <col min="4110" max="4110" width="12.88671875" style="82" customWidth="1"/>
    <col min="4111" max="4111" width="8.5546875" style="82" customWidth="1"/>
    <col min="4112" max="4352" width="12" style="82"/>
    <col min="4353" max="4353" width="4.44140625" style="82" customWidth="1"/>
    <col min="4354" max="4354" width="40.21875" style="82" customWidth="1"/>
    <col min="4355" max="4355" width="12" style="82"/>
    <col min="4356" max="4356" width="14.6640625" style="82" customWidth="1"/>
    <col min="4357" max="4357" width="12" style="82"/>
    <col min="4358" max="4358" width="12.33203125" style="82" customWidth="1"/>
    <col min="4359" max="4359" width="15.21875" style="82" customWidth="1"/>
    <col min="4360" max="4361" width="12" style="82"/>
    <col min="4362" max="4362" width="9" style="82" customWidth="1"/>
    <col min="4363" max="4363" width="12" style="82"/>
    <col min="4364" max="4364" width="10.5546875" style="82" customWidth="1"/>
    <col min="4365" max="4365" width="12" style="82"/>
    <col min="4366" max="4366" width="12.88671875" style="82" customWidth="1"/>
    <col min="4367" max="4367" width="8.5546875" style="82" customWidth="1"/>
    <col min="4368" max="4608" width="12" style="82"/>
    <col min="4609" max="4609" width="4.44140625" style="82" customWidth="1"/>
    <col min="4610" max="4610" width="40.21875" style="82" customWidth="1"/>
    <col min="4611" max="4611" width="12" style="82"/>
    <col min="4612" max="4612" width="14.6640625" style="82" customWidth="1"/>
    <col min="4613" max="4613" width="12" style="82"/>
    <col min="4614" max="4614" width="12.33203125" style="82" customWidth="1"/>
    <col min="4615" max="4615" width="15.21875" style="82" customWidth="1"/>
    <col min="4616" max="4617" width="12" style="82"/>
    <col min="4618" max="4618" width="9" style="82" customWidth="1"/>
    <col min="4619" max="4619" width="12" style="82"/>
    <col min="4620" max="4620" width="10.5546875" style="82" customWidth="1"/>
    <col min="4621" max="4621" width="12" style="82"/>
    <col min="4622" max="4622" width="12.88671875" style="82" customWidth="1"/>
    <col min="4623" max="4623" width="8.5546875" style="82" customWidth="1"/>
    <col min="4624" max="4864" width="12" style="82"/>
    <col min="4865" max="4865" width="4.44140625" style="82" customWidth="1"/>
    <col min="4866" max="4866" width="40.21875" style="82" customWidth="1"/>
    <col min="4867" max="4867" width="12" style="82"/>
    <col min="4868" max="4868" width="14.6640625" style="82" customWidth="1"/>
    <col min="4869" max="4869" width="12" style="82"/>
    <col min="4870" max="4870" width="12.33203125" style="82" customWidth="1"/>
    <col min="4871" max="4871" width="15.21875" style="82" customWidth="1"/>
    <col min="4872" max="4873" width="12" style="82"/>
    <col min="4874" max="4874" width="9" style="82" customWidth="1"/>
    <col min="4875" max="4875" width="12" style="82"/>
    <col min="4876" max="4876" width="10.5546875" style="82" customWidth="1"/>
    <col min="4877" max="4877" width="12" style="82"/>
    <col min="4878" max="4878" width="12.88671875" style="82" customWidth="1"/>
    <col min="4879" max="4879" width="8.5546875" style="82" customWidth="1"/>
    <col min="4880" max="5120" width="12" style="82"/>
    <col min="5121" max="5121" width="4.44140625" style="82" customWidth="1"/>
    <col min="5122" max="5122" width="40.21875" style="82" customWidth="1"/>
    <col min="5123" max="5123" width="12" style="82"/>
    <col min="5124" max="5124" width="14.6640625" style="82" customWidth="1"/>
    <col min="5125" max="5125" width="12" style="82"/>
    <col min="5126" max="5126" width="12.33203125" style="82" customWidth="1"/>
    <col min="5127" max="5127" width="15.21875" style="82" customWidth="1"/>
    <col min="5128" max="5129" width="12" style="82"/>
    <col min="5130" max="5130" width="9" style="82" customWidth="1"/>
    <col min="5131" max="5131" width="12" style="82"/>
    <col min="5132" max="5132" width="10.5546875" style="82" customWidth="1"/>
    <col min="5133" max="5133" width="12" style="82"/>
    <col min="5134" max="5134" width="12.88671875" style="82" customWidth="1"/>
    <col min="5135" max="5135" width="8.5546875" style="82" customWidth="1"/>
    <col min="5136" max="5376" width="12" style="82"/>
    <col min="5377" max="5377" width="4.44140625" style="82" customWidth="1"/>
    <col min="5378" max="5378" width="40.21875" style="82" customWidth="1"/>
    <col min="5379" max="5379" width="12" style="82"/>
    <col min="5380" max="5380" width="14.6640625" style="82" customWidth="1"/>
    <col min="5381" max="5381" width="12" style="82"/>
    <col min="5382" max="5382" width="12.33203125" style="82" customWidth="1"/>
    <col min="5383" max="5383" width="15.21875" style="82" customWidth="1"/>
    <col min="5384" max="5385" width="12" style="82"/>
    <col min="5386" max="5386" width="9" style="82" customWidth="1"/>
    <col min="5387" max="5387" width="12" style="82"/>
    <col min="5388" max="5388" width="10.5546875" style="82" customWidth="1"/>
    <col min="5389" max="5389" width="12" style="82"/>
    <col min="5390" max="5390" width="12.88671875" style="82" customWidth="1"/>
    <col min="5391" max="5391" width="8.5546875" style="82" customWidth="1"/>
    <col min="5392" max="5632" width="12" style="82"/>
    <col min="5633" max="5633" width="4.44140625" style="82" customWidth="1"/>
    <col min="5634" max="5634" width="40.21875" style="82" customWidth="1"/>
    <col min="5635" max="5635" width="12" style="82"/>
    <col min="5636" max="5636" width="14.6640625" style="82" customWidth="1"/>
    <col min="5637" max="5637" width="12" style="82"/>
    <col min="5638" max="5638" width="12.33203125" style="82" customWidth="1"/>
    <col min="5639" max="5639" width="15.21875" style="82" customWidth="1"/>
    <col min="5640" max="5641" width="12" style="82"/>
    <col min="5642" max="5642" width="9" style="82" customWidth="1"/>
    <col min="5643" max="5643" width="12" style="82"/>
    <col min="5644" max="5644" width="10.5546875" style="82" customWidth="1"/>
    <col min="5645" max="5645" width="12" style="82"/>
    <col min="5646" max="5646" width="12.88671875" style="82" customWidth="1"/>
    <col min="5647" max="5647" width="8.5546875" style="82" customWidth="1"/>
    <col min="5648" max="5888" width="12" style="82"/>
    <col min="5889" max="5889" width="4.44140625" style="82" customWidth="1"/>
    <col min="5890" max="5890" width="40.21875" style="82" customWidth="1"/>
    <col min="5891" max="5891" width="12" style="82"/>
    <col min="5892" max="5892" width="14.6640625" style="82" customWidth="1"/>
    <col min="5893" max="5893" width="12" style="82"/>
    <col min="5894" max="5894" width="12.33203125" style="82" customWidth="1"/>
    <col min="5895" max="5895" width="15.21875" style="82" customWidth="1"/>
    <col min="5896" max="5897" width="12" style="82"/>
    <col min="5898" max="5898" width="9" style="82" customWidth="1"/>
    <col min="5899" max="5899" width="12" style="82"/>
    <col min="5900" max="5900" width="10.5546875" style="82" customWidth="1"/>
    <col min="5901" max="5901" width="12" style="82"/>
    <col min="5902" max="5902" width="12.88671875" style="82" customWidth="1"/>
    <col min="5903" max="5903" width="8.5546875" style="82" customWidth="1"/>
    <col min="5904" max="6144" width="12" style="82"/>
    <col min="6145" max="6145" width="4.44140625" style="82" customWidth="1"/>
    <col min="6146" max="6146" width="40.21875" style="82" customWidth="1"/>
    <col min="6147" max="6147" width="12" style="82"/>
    <col min="6148" max="6148" width="14.6640625" style="82" customWidth="1"/>
    <col min="6149" max="6149" width="12" style="82"/>
    <col min="6150" max="6150" width="12.33203125" style="82" customWidth="1"/>
    <col min="6151" max="6151" width="15.21875" style="82" customWidth="1"/>
    <col min="6152" max="6153" width="12" style="82"/>
    <col min="6154" max="6154" width="9" style="82" customWidth="1"/>
    <col min="6155" max="6155" width="12" style="82"/>
    <col min="6156" max="6156" width="10.5546875" style="82" customWidth="1"/>
    <col min="6157" max="6157" width="12" style="82"/>
    <col min="6158" max="6158" width="12.88671875" style="82" customWidth="1"/>
    <col min="6159" max="6159" width="8.5546875" style="82" customWidth="1"/>
    <col min="6160" max="6400" width="12" style="82"/>
    <col min="6401" max="6401" width="4.44140625" style="82" customWidth="1"/>
    <col min="6402" max="6402" width="40.21875" style="82" customWidth="1"/>
    <col min="6403" max="6403" width="12" style="82"/>
    <col min="6404" max="6404" width="14.6640625" style="82" customWidth="1"/>
    <col min="6405" max="6405" width="12" style="82"/>
    <col min="6406" max="6406" width="12.33203125" style="82" customWidth="1"/>
    <col min="6407" max="6407" width="15.21875" style="82" customWidth="1"/>
    <col min="6408" max="6409" width="12" style="82"/>
    <col min="6410" max="6410" width="9" style="82" customWidth="1"/>
    <col min="6411" max="6411" width="12" style="82"/>
    <col min="6412" max="6412" width="10.5546875" style="82" customWidth="1"/>
    <col min="6413" max="6413" width="12" style="82"/>
    <col min="6414" max="6414" width="12.88671875" style="82" customWidth="1"/>
    <col min="6415" max="6415" width="8.5546875" style="82" customWidth="1"/>
    <col min="6416" max="6656" width="12" style="82"/>
    <col min="6657" max="6657" width="4.44140625" style="82" customWidth="1"/>
    <col min="6658" max="6658" width="40.21875" style="82" customWidth="1"/>
    <col min="6659" max="6659" width="12" style="82"/>
    <col min="6660" max="6660" width="14.6640625" style="82" customWidth="1"/>
    <col min="6661" max="6661" width="12" style="82"/>
    <col min="6662" max="6662" width="12.33203125" style="82" customWidth="1"/>
    <col min="6663" max="6663" width="15.21875" style="82" customWidth="1"/>
    <col min="6664" max="6665" width="12" style="82"/>
    <col min="6666" max="6666" width="9" style="82" customWidth="1"/>
    <col min="6667" max="6667" width="12" style="82"/>
    <col min="6668" max="6668" width="10.5546875" style="82" customWidth="1"/>
    <col min="6669" max="6669" width="12" style="82"/>
    <col min="6670" max="6670" width="12.88671875" style="82" customWidth="1"/>
    <col min="6671" max="6671" width="8.5546875" style="82" customWidth="1"/>
    <col min="6672" max="6912" width="12" style="82"/>
    <col min="6913" max="6913" width="4.44140625" style="82" customWidth="1"/>
    <col min="6914" max="6914" width="40.21875" style="82" customWidth="1"/>
    <col min="6915" max="6915" width="12" style="82"/>
    <col min="6916" max="6916" width="14.6640625" style="82" customWidth="1"/>
    <col min="6917" max="6917" width="12" style="82"/>
    <col min="6918" max="6918" width="12.33203125" style="82" customWidth="1"/>
    <col min="6919" max="6919" width="15.21875" style="82" customWidth="1"/>
    <col min="6920" max="6921" width="12" style="82"/>
    <col min="6922" max="6922" width="9" style="82" customWidth="1"/>
    <col min="6923" max="6923" width="12" style="82"/>
    <col min="6924" max="6924" width="10.5546875" style="82" customWidth="1"/>
    <col min="6925" max="6925" width="12" style="82"/>
    <col min="6926" max="6926" width="12.88671875" style="82" customWidth="1"/>
    <col min="6927" max="6927" width="8.5546875" style="82" customWidth="1"/>
    <col min="6928" max="7168" width="12" style="82"/>
    <col min="7169" max="7169" width="4.44140625" style="82" customWidth="1"/>
    <col min="7170" max="7170" width="40.21875" style="82" customWidth="1"/>
    <col min="7171" max="7171" width="12" style="82"/>
    <col min="7172" max="7172" width="14.6640625" style="82" customWidth="1"/>
    <col min="7173" max="7173" width="12" style="82"/>
    <col min="7174" max="7174" width="12.33203125" style="82" customWidth="1"/>
    <col min="7175" max="7175" width="15.21875" style="82" customWidth="1"/>
    <col min="7176" max="7177" width="12" style="82"/>
    <col min="7178" max="7178" width="9" style="82" customWidth="1"/>
    <col min="7179" max="7179" width="12" style="82"/>
    <col min="7180" max="7180" width="10.5546875" style="82" customWidth="1"/>
    <col min="7181" max="7181" width="12" style="82"/>
    <col min="7182" max="7182" width="12.88671875" style="82" customWidth="1"/>
    <col min="7183" max="7183" width="8.5546875" style="82" customWidth="1"/>
    <col min="7184" max="7424" width="12" style="82"/>
    <col min="7425" max="7425" width="4.44140625" style="82" customWidth="1"/>
    <col min="7426" max="7426" width="40.21875" style="82" customWidth="1"/>
    <col min="7427" max="7427" width="12" style="82"/>
    <col min="7428" max="7428" width="14.6640625" style="82" customWidth="1"/>
    <col min="7429" max="7429" width="12" style="82"/>
    <col min="7430" max="7430" width="12.33203125" style="82" customWidth="1"/>
    <col min="7431" max="7431" width="15.21875" style="82" customWidth="1"/>
    <col min="7432" max="7433" width="12" style="82"/>
    <col min="7434" max="7434" width="9" style="82" customWidth="1"/>
    <col min="7435" max="7435" width="12" style="82"/>
    <col min="7436" max="7436" width="10.5546875" style="82" customWidth="1"/>
    <col min="7437" max="7437" width="12" style="82"/>
    <col min="7438" max="7438" width="12.88671875" style="82" customWidth="1"/>
    <col min="7439" max="7439" width="8.5546875" style="82" customWidth="1"/>
    <col min="7440" max="7680" width="12" style="82"/>
    <col min="7681" max="7681" width="4.44140625" style="82" customWidth="1"/>
    <col min="7682" max="7682" width="40.21875" style="82" customWidth="1"/>
    <col min="7683" max="7683" width="12" style="82"/>
    <col min="7684" max="7684" width="14.6640625" style="82" customWidth="1"/>
    <col min="7685" max="7685" width="12" style="82"/>
    <col min="7686" max="7686" width="12.33203125" style="82" customWidth="1"/>
    <col min="7687" max="7687" width="15.21875" style="82" customWidth="1"/>
    <col min="7688" max="7689" width="12" style="82"/>
    <col min="7690" max="7690" width="9" style="82" customWidth="1"/>
    <col min="7691" max="7691" width="12" style="82"/>
    <col min="7692" max="7692" width="10.5546875" style="82" customWidth="1"/>
    <col min="7693" max="7693" width="12" style="82"/>
    <col min="7694" max="7694" width="12.88671875" style="82" customWidth="1"/>
    <col min="7695" max="7695" width="8.5546875" style="82" customWidth="1"/>
    <col min="7696" max="7936" width="12" style="82"/>
    <col min="7937" max="7937" width="4.44140625" style="82" customWidth="1"/>
    <col min="7938" max="7938" width="40.21875" style="82" customWidth="1"/>
    <col min="7939" max="7939" width="12" style="82"/>
    <col min="7940" max="7940" width="14.6640625" style="82" customWidth="1"/>
    <col min="7941" max="7941" width="12" style="82"/>
    <col min="7942" max="7942" width="12.33203125" style="82" customWidth="1"/>
    <col min="7943" max="7943" width="15.21875" style="82" customWidth="1"/>
    <col min="7944" max="7945" width="12" style="82"/>
    <col min="7946" max="7946" width="9" style="82" customWidth="1"/>
    <col min="7947" max="7947" width="12" style="82"/>
    <col min="7948" max="7948" width="10.5546875" style="82" customWidth="1"/>
    <col min="7949" max="7949" width="12" style="82"/>
    <col min="7950" max="7950" width="12.88671875" style="82" customWidth="1"/>
    <col min="7951" max="7951" width="8.5546875" style="82" customWidth="1"/>
    <col min="7952" max="8192" width="12" style="82"/>
    <col min="8193" max="8193" width="4.44140625" style="82" customWidth="1"/>
    <col min="8194" max="8194" width="40.21875" style="82" customWidth="1"/>
    <col min="8195" max="8195" width="12" style="82"/>
    <col min="8196" max="8196" width="14.6640625" style="82" customWidth="1"/>
    <col min="8197" max="8197" width="12" style="82"/>
    <col min="8198" max="8198" width="12.33203125" style="82" customWidth="1"/>
    <col min="8199" max="8199" width="15.21875" style="82" customWidth="1"/>
    <col min="8200" max="8201" width="12" style="82"/>
    <col min="8202" max="8202" width="9" style="82" customWidth="1"/>
    <col min="8203" max="8203" width="12" style="82"/>
    <col min="8204" max="8204" width="10.5546875" style="82" customWidth="1"/>
    <col min="8205" max="8205" width="12" style="82"/>
    <col min="8206" max="8206" width="12.88671875" style="82" customWidth="1"/>
    <col min="8207" max="8207" width="8.5546875" style="82" customWidth="1"/>
    <col min="8208" max="8448" width="12" style="82"/>
    <col min="8449" max="8449" width="4.44140625" style="82" customWidth="1"/>
    <col min="8450" max="8450" width="40.21875" style="82" customWidth="1"/>
    <col min="8451" max="8451" width="12" style="82"/>
    <col min="8452" max="8452" width="14.6640625" style="82" customWidth="1"/>
    <col min="8453" max="8453" width="12" style="82"/>
    <col min="8454" max="8454" width="12.33203125" style="82" customWidth="1"/>
    <col min="8455" max="8455" width="15.21875" style="82" customWidth="1"/>
    <col min="8456" max="8457" width="12" style="82"/>
    <col min="8458" max="8458" width="9" style="82" customWidth="1"/>
    <col min="8459" max="8459" width="12" style="82"/>
    <col min="8460" max="8460" width="10.5546875" style="82" customWidth="1"/>
    <col min="8461" max="8461" width="12" style="82"/>
    <col min="8462" max="8462" width="12.88671875" style="82" customWidth="1"/>
    <col min="8463" max="8463" width="8.5546875" style="82" customWidth="1"/>
    <col min="8464" max="8704" width="12" style="82"/>
    <col min="8705" max="8705" width="4.44140625" style="82" customWidth="1"/>
    <col min="8706" max="8706" width="40.21875" style="82" customWidth="1"/>
    <col min="8707" max="8707" width="12" style="82"/>
    <col min="8708" max="8708" width="14.6640625" style="82" customWidth="1"/>
    <col min="8709" max="8709" width="12" style="82"/>
    <col min="8710" max="8710" width="12.33203125" style="82" customWidth="1"/>
    <col min="8711" max="8711" width="15.21875" style="82" customWidth="1"/>
    <col min="8712" max="8713" width="12" style="82"/>
    <col min="8714" max="8714" width="9" style="82" customWidth="1"/>
    <col min="8715" max="8715" width="12" style="82"/>
    <col min="8716" max="8716" width="10.5546875" style="82" customWidth="1"/>
    <col min="8717" max="8717" width="12" style="82"/>
    <col min="8718" max="8718" width="12.88671875" style="82" customWidth="1"/>
    <col min="8719" max="8719" width="8.5546875" style="82" customWidth="1"/>
    <col min="8720" max="8960" width="12" style="82"/>
    <col min="8961" max="8961" width="4.44140625" style="82" customWidth="1"/>
    <col min="8962" max="8962" width="40.21875" style="82" customWidth="1"/>
    <col min="8963" max="8963" width="12" style="82"/>
    <col min="8964" max="8964" width="14.6640625" style="82" customWidth="1"/>
    <col min="8965" max="8965" width="12" style="82"/>
    <col min="8966" max="8966" width="12.33203125" style="82" customWidth="1"/>
    <col min="8967" max="8967" width="15.21875" style="82" customWidth="1"/>
    <col min="8968" max="8969" width="12" style="82"/>
    <col min="8970" max="8970" width="9" style="82" customWidth="1"/>
    <col min="8971" max="8971" width="12" style="82"/>
    <col min="8972" max="8972" width="10.5546875" style="82" customWidth="1"/>
    <col min="8973" max="8973" width="12" style="82"/>
    <col min="8974" max="8974" width="12.88671875" style="82" customWidth="1"/>
    <col min="8975" max="8975" width="8.5546875" style="82" customWidth="1"/>
    <col min="8976" max="9216" width="12" style="82"/>
    <col min="9217" max="9217" width="4.44140625" style="82" customWidth="1"/>
    <col min="9218" max="9218" width="40.21875" style="82" customWidth="1"/>
    <col min="9219" max="9219" width="12" style="82"/>
    <col min="9220" max="9220" width="14.6640625" style="82" customWidth="1"/>
    <col min="9221" max="9221" width="12" style="82"/>
    <col min="9222" max="9222" width="12.33203125" style="82" customWidth="1"/>
    <col min="9223" max="9223" width="15.21875" style="82" customWidth="1"/>
    <col min="9224" max="9225" width="12" style="82"/>
    <col min="9226" max="9226" width="9" style="82" customWidth="1"/>
    <col min="9227" max="9227" width="12" style="82"/>
    <col min="9228" max="9228" width="10.5546875" style="82" customWidth="1"/>
    <col min="9229" max="9229" width="12" style="82"/>
    <col min="9230" max="9230" width="12.88671875" style="82" customWidth="1"/>
    <col min="9231" max="9231" width="8.5546875" style="82" customWidth="1"/>
    <col min="9232" max="9472" width="12" style="82"/>
    <col min="9473" max="9473" width="4.44140625" style="82" customWidth="1"/>
    <col min="9474" max="9474" width="40.21875" style="82" customWidth="1"/>
    <col min="9475" max="9475" width="12" style="82"/>
    <col min="9476" max="9476" width="14.6640625" style="82" customWidth="1"/>
    <col min="9477" max="9477" width="12" style="82"/>
    <col min="9478" max="9478" width="12.33203125" style="82" customWidth="1"/>
    <col min="9479" max="9479" width="15.21875" style="82" customWidth="1"/>
    <col min="9480" max="9481" width="12" style="82"/>
    <col min="9482" max="9482" width="9" style="82" customWidth="1"/>
    <col min="9483" max="9483" width="12" style="82"/>
    <col min="9484" max="9484" width="10.5546875" style="82" customWidth="1"/>
    <col min="9485" max="9485" width="12" style="82"/>
    <col min="9486" max="9486" width="12.88671875" style="82" customWidth="1"/>
    <col min="9487" max="9487" width="8.5546875" style="82" customWidth="1"/>
    <col min="9488" max="9728" width="12" style="82"/>
    <col min="9729" max="9729" width="4.44140625" style="82" customWidth="1"/>
    <col min="9730" max="9730" width="40.21875" style="82" customWidth="1"/>
    <col min="9731" max="9731" width="12" style="82"/>
    <col min="9732" max="9732" width="14.6640625" style="82" customWidth="1"/>
    <col min="9733" max="9733" width="12" style="82"/>
    <col min="9734" max="9734" width="12.33203125" style="82" customWidth="1"/>
    <col min="9735" max="9735" width="15.21875" style="82" customWidth="1"/>
    <col min="9736" max="9737" width="12" style="82"/>
    <col min="9738" max="9738" width="9" style="82" customWidth="1"/>
    <col min="9739" max="9739" width="12" style="82"/>
    <col min="9740" max="9740" width="10.5546875" style="82" customWidth="1"/>
    <col min="9741" max="9741" width="12" style="82"/>
    <col min="9742" max="9742" width="12.88671875" style="82" customWidth="1"/>
    <col min="9743" max="9743" width="8.5546875" style="82" customWidth="1"/>
    <col min="9744" max="9984" width="12" style="82"/>
    <col min="9985" max="9985" width="4.44140625" style="82" customWidth="1"/>
    <col min="9986" max="9986" width="40.21875" style="82" customWidth="1"/>
    <col min="9987" max="9987" width="12" style="82"/>
    <col min="9988" max="9988" width="14.6640625" style="82" customWidth="1"/>
    <col min="9989" max="9989" width="12" style="82"/>
    <col min="9990" max="9990" width="12.33203125" style="82" customWidth="1"/>
    <col min="9991" max="9991" width="15.21875" style="82" customWidth="1"/>
    <col min="9992" max="9993" width="12" style="82"/>
    <col min="9994" max="9994" width="9" style="82" customWidth="1"/>
    <col min="9995" max="9995" width="12" style="82"/>
    <col min="9996" max="9996" width="10.5546875" style="82" customWidth="1"/>
    <col min="9997" max="9997" width="12" style="82"/>
    <col min="9998" max="9998" width="12.88671875" style="82" customWidth="1"/>
    <col min="9999" max="9999" width="8.5546875" style="82" customWidth="1"/>
    <col min="10000" max="10240" width="12" style="82"/>
    <col min="10241" max="10241" width="4.44140625" style="82" customWidth="1"/>
    <col min="10242" max="10242" width="40.21875" style="82" customWidth="1"/>
    <col min="10243" max="10243" width="12" style="82"/>
    <col min="10244" max="10244" width="14.6640625" style="82" customWidth="1"/>
    <col min="10245" max="10245" width="12" style="82"/>
    <col min="10246" max="10246" width="12.33203125" style="82" customWidth="1"/>
    <col min="10247" max="10247" width="15.21875" style="82" customWidth="1"/>
    <col min="10248" max="10249" width="12" style="82"/>
    <col min="10250" max="10250" width="9" style="82" customWidth="1"/>
    <col min="10251" max="10251" width="12" style="82"/>
    <col min="10252" max="10252" width="10.5546875" style="82" customWidth="1"/>
    <col min="10253" max="10253" width="12" style="82"/>
    <col min="10254" max="10254" width="12.88671875" style="82" customWidth="1"/>
    <col min="10255" max="10255" width="8.5546875" style="82" customWidth="1"/>
    <col min="10256" max="10496" width="12" style="82"/>
    <col min="10497" max="10497" width="4.44140625" style="82" customWidth="1"/>
    <col min="10498" max="10498" width="40.21875" style="82" customWidth="1"/>
    <col min="10499" max="10499" width="12" style="82"/>
    <col min="10500" max="10500" width="14.6640625" style="82" customWidth="1"/>
    <col min="10501" max="10501" width="12" style="82"/>
    <col min="10502" max="10502" width="12.33203125" style="82" customWidth="1"/>
    <col min="10503" max="10503" width="15.21875" style="82" customWidth="1"/>
    <col min="10504" max="10505" width="12" style="82"/>
    <col min="10506" max="10506" width="9" style="82" customWidth="1"/>
    <col min="10507" max="10507" width="12" style="82"/>
    <col min="10508" max="10508" width="10.5546875" style="82" customWidth="1"/>
    <col min="10509" max="10509" width="12" style="82"/>
    <col min="10510" max="10510" width="12.88671875" style="82" customWidth="1"/>
    <col min="10511" max="10511" width="8.5546875" style="82" customWidth="1"/>
    <col min="10512" max="10752" width="12" style="82"/>
    <col min="10753" max="10753" width="4.44140625" style="82" customWidth="1"/>
    <col min="10754" max="10754" width="40.21875" style="82" customWidth="1"/>
    <col min="10755" max="10755" width="12" style="82"/>
    <col min="10756" max="10756" width="14.6640625" style="82" customWidth="1"/>
    <col min="10757" max="10757" width="12" style="82"/>
    <col min="10758" max="10758" width="12.33203125" style="82" customWidth="1"/>
    <col min="10759" max="10759" width="15.21875" style="82" customWidth="1"/>
    <col min="10760" max="10761" width="12" style="82"/>
    <col min="10762" max="10762" width="9" style="82" customWidth="1"/>
    <col min="10763" max="10763" width="12" style="82"/>
    <col min="10764" max="10764" width="10.5546875" style="82" customWidth="1"/>
    <col min="10765" max="10765" width="12" style="82"/>
    <col min="10766" max="10766" width="12.88671875" style="82" customWidth="1"/>
    <col min="10767" max="10767" width="8.5546875" style="82" customWidth="1"/>
    <col min="10768" max="11008" width="12" style="82"/>
    <col min="11009" max="11009" width="4.44140625" style="82" customWidth="1"/>
    <col min="11010" max="11010" width="40.21875" style="82" customWidth="1"/>
    <col min="11011" max="11011" width="12" style="82"/>
    <col min="11012" max="11012" width="14.6640625" style="82" customWidth="1"/>
    <col min="11013" max="11013" width="12" style="82"/>
    <col min="11014" max="11014" width="12.33203125" style="82" customWidth="1"/>
    <col min="11015" max="11015" width="15.21875" style="82" customWidth="1"/>
    <col min="11016" max="11017" width="12" style="82"/>
    <col min="11018" max="11018" width="9" style="82" customWidth="1"/>
    <col min="11019" max="11019" width="12" style="82"/>
    <col min="11020" max="11020" width="10.5546875" style="82" customWidth="1"/>
    <col min="11021" max="11021" width="12" style="82"/>
    <col min="11022" max="11022" width="12.88671875" style="82" customWidth="1"/>
    <col min="11023" max="11023" width="8.5546875" style="82" customWidth="1"/>
    <col min="11024" max="11264" width="12" style="82"/>
    <col min="11265" max="11265" width="4.44140625" style="82" customWidth="1"/>
    <col min="11266" max="11266" width="40.21875" style="82" customWidth="1"/>
    <col min="11267" max="11267" width="12" style="82"/>
    <col min="11268" max="11268" width="14.6640625" style="82" customWidth="1"/>
    <col min="11269" max="11269" width="12" style="82"/>
    <col min="11270" max="11270" width="12.33203125" style="82" customWidth="1"/>
    <col min="11271" max="11271" width="15.21875" style="82" customWidth="1"/>
    <col min="11272" max="11273" width="12" style="82"/>
    <col min="11274" max="11274" width="9" style="82" customWidth="1"/>
    <col min="11275" max="11275" width="12" style="82"/>
    <col min="11276" max="11276" width="10.5546875" style="82" customWidth="1"/>
    <col min="11277" max="11277" width="12" style="82"/>
    <col min="11278" max="11278" width="12.88671875" style="82" customWidth="1"/>
    <col min="11279" max="11279" width="8.5546875" style="82" customWidth="1"/>
    <col min="11280" max="11520" width="12" style="82"/>
    <col min="11521" max="11521" width="4.44140625" style="82" customWidth="1"/>
    <col min="11522" max="11522" width="40.21875" style="82" customWidth="1"/>
    <col min="11523" max="11523" width="12" style="82"/>
    <col min="11524" max="11524" width="14.6640625" style="82" customWidth="1"/>
    <col min="11525" max="11525" width="12" style="82"/>
    <col min="11526" max="11526" width="12.33203125" style="82" customWidth="1"/>
    <col min="11527" max="11527" width="15.21875" style="82" customWidth="1"/>
    <col min="11528" max="11529" width="12" style="82"/>
    <col min="11530" max="11530" width="9" style="82" customWidth="1"/>
    <col min="11531" max="11531" width="12" style="82"/>
    <col min="11532" max="11532" width="10.5546875" style="82" customWidth="1"/>
    <col min="11533" max="11533" width="12" style="82"/>
    <col min="11534" max="11534" width="12.88671875" style="82" customWidth="1"/>
    <col min="11535" max="11535" width="8.5546875" style="82" customWidth="1"/>
    <col min="11536" max="11776" width="12" style="82"/>
    <col min="11777" max="11777" width="4.44140625" style="82" customWidth="1"/>
    <col min="11778" max="11778" width="40.21875" style="82" customWidth="1"/>
    <col min="11779" max="11779" width="12" style="82"/>
    <col min="11780" max="11780" width="14.6640625" style="82" customWidth="1"/>
    <col min="11781" max="11781" width="12" style="82"/>
    <col min="11782" max="11782" width="12.33203125" style="82" customWidth="1"/>
    <col min="11783" max="11783" width="15.21875" style="82" customWidth="1"/>
    <col min="11784" max="11785" width="12" style="82"/>
    <col min="11786" max="11786" width="9" style="82" customWidth="1"/>
    <col min="11787" max="11787" width="12" style="82"/>
    <col min="11788" max="11788" width="10.5546875" style="82" customWidth="1"/>
    <col min="11789" max="11789" width="12" style="82"/>
    <col min="11790" max="11790" width="12.88671875" style="82" customWidth="1"/>
    <col min="11791" max="11791" width="8.5546875" style="82" customWidth="1"/>
    <col min="11792" max="12032" width="12" style="82"/>
    <col min="12033" max="12033" width="4.44140625" style="82" customWidth="1"/>
    <col min="12034" max="12034" width="40.21875" style="82" customWidth="1"/>
    <col min="12035" max="12035" width="12" style="82"/>
    <col min="12036" max="12036" width="14.6640625" style="82" customWidth="1"/>
    <col min="12037" max="12037" width="12" style="82"/>
    <col min="12038" max="12038" width="12.33203125" style="82" customWidth="1"/>
    <col min="12039" max="12039" width="15.21875" style="82" customWidth="1"/>
    <col min="12040" max="12041" width="12" style="82"/>
    <col min="12042" max="12042" width="9" style="82" customWidth="1"/>
    <col min="12043" max="12043" width="12" style="82"/>
    <col min="12044" max="12044" width="10.5546875" style="82" customWidth="1"/>
    <col min="12045" max="12045" width="12" style="82"/>
    <col min="12046" max="12046" width="12.88671875" style="82" customWidth="1"/>
    <col min="12047" max="12047" width="8.5546875" style="82" customWidth="1"/>
    <col min="12048" max="12288" width="12" style="82"/>
    <col min="12289" max="12289" width="4.44140625" style="82" customWidth="1"/>
    <col min="12290" max="12290" width="40.21875" style="82" customWidth="1"/>
    <col min="12291" max="12291" width="12" style="82"/>
    <col min="12292" max="12292" width="14.6640625" style="82" customWidth="1"/>
    <col min="12293" max="12293" width="12" style="82"/>
    <col min="12294" max="12294" width="12.33203125" style="82" customWidth="1"/>
    <col min="12295" max="12295" width="15.21875" style="82" customWidth="1"/>
    <col min="12296" max="12297" width="12" style="82"/>
    <col min="12298" max="12298" width="9" style="82" customWidth="1"/>
    <col min="12299" max="12299" width="12" style="82"/>
    <col min="12300" max="12300" width="10.5546875" style="82" customWidth="1"/>
    <col min="12301" max="12301" width="12" style="82"/>
    <col min="12302" max="12302" width="12.88671875" style="82" customWidth="1"/>
    <col min="12303" max="12303" width="8.5546875" style="82" customWidth="1"/>
    <col min="12304" max="12544" width="12" style="82"/>
    <col min="12545" max="12545" width="4.44140625" style="82" customWidth="1"/>
    <col min="12546" max="12546" width="40.21875" style="82" customWidth="1"/>
    <col min="12547" max="12547" width="12" style="82"/>
    <col min="12548" max="12548" width="14.6640625" style="82" customWidth="1"/>
    <col min="12549" max="12549" width="12" style="82"/>
    <col min="12550" max="12550" width="12.33203125" style="82" customWidth="1"/>
    <col min="12551" max="12551" width="15.21875" style="82" customWidth="1"/>
    <col min="12552" max="12553" width="12" style="82"/>
    <col min="12554" max="12554" width="9" style="82" customWidth="1"/>
    <col min="12555" max="12555" width="12" style="82"/>
    <col min="12556" max="12556" width="10.5546875" style="82" customWidth="1"/>
    <col min="12557" max="12557" width="12" style="82"/>
    <col min="12558" max="12558" width="12.88671875" style="82" customWidth="1"/>
    <col min="12559" max="12559" width="8.5546875" style="82" customWidth="1"/>
    <col min="12560" max="12800" width="12" style="82"/>
    <col min="12801" max="12801" width="4.44140625" style="82" customWidth="1"/>
    <col min="12802" max="12802" width="40.21875" style="82" customWidth="1"/>
    <col min="12803" max="12803" width="12" style="82"/>
    <col min="12804" max="12804" width="14.6640625" style="82" customWidth="1"/>
    <col min="12805" max="12805" width="12" style="82"/>
    <col min="12806" max="12806" width="12.33203125" style="82" customWidth="1"/>
    <col min="12807" max="12807" width="15.21875" style="82" customWidth="1"/>
    <col min="12808" max="12809" width="12" style="82"/>
    <col min="12810" max="12810" width="9" style="82" customWidth="1"/>
    <col min="12811" max="12811" width="12" style="82"/>
    <col min="12812" max="12812" width="10.5546875" style="82" customWidth="1"/>
    <col min="12813" max="12813" width="12" style="82"/>
    <col min="12814" max="12814" width="12.88671875" style="82" customWidth="1"/>
    <col min="12815" max="12815" width="8.5546875" style="82" customWidth="1"/>
    <col min="12816" max="13056" width="12" style="82"/>
    <col min="13057" max="13057" width="4.44140625" style="82" customWidth="1"/>
    <col min="13058" max="13058" width="40.21875" style="82" customWidth="1"/>
    <col min="13059" max="13059" width="12" style="82"/>
    <col min="13060" max="13060" width="14.6640625" style="82" customWidth="1"/>
    <col min="13061" max="13061" width="12" style="82"/>
    <col min="13062" max="13062" width="12.33203125" style="82" customWidth="1"/>
    <col min="13063" max="13063" width="15.21875" style="82" customWidth="1"/>
    <col min="13064" max="13065" width="12" style="82"/>
    <col min="13066" max="13066" width="9" style="82" customWidth="1"/>
    <col min="13067" max="13067" width="12" style="82"/>
    <col min="13068" max="13068" width="10.5546875" style="82" customWidth="1"/>
    <col min="13069" max="13069" width="12" style="82"/>
    <col min="13070" max="13070" width="12.88671875" style="82" customWidth="1"/>
    <col min="13071" max="13071" width="8.5546875" style="82" customWidth="1"/>
    <col min="13072" max="13312" width="12" style="82"/>
    <col min="13313" max="13313" width="4.44140625" style="82" customWidth="1"/>
    <col min="13314" max="13314" width="40.21875" style="82" customWidth="1"/>
    <col min="13315" max="13315" width="12" style="82"/>
    <col min="13316" max="13316" width="14.6640625" style="82" customWidth="1"/>
    <col min="13317" max="13317" width="12" style="82"/>
    <col min="13318" max="13318" width="12.33203125" style="82" customWidth="1"/>
    <col min="13319" max="13319" width="15.21875" style="82" customWidth="1"/>
    <col min="13320" max="13321" width="12" style="82"/>
    <col min="13322" max="13322" width="9" style="82" customWidth="1"/>
    <col min="13323" max="13323" width="12" style="82"/>
    <col min="13324" max="13324" width="10.5546875" style="82" customWidth="1"/>
    <col min="13325" max="13325" width="12" style="82"/>
    <col min="13326" max="13326" width="12.88671875" style="82" customWidth="1"/>
    <col min="13327" max="13327" width="8.5546875" style="82" customWidth="1"/>
    <col min="13328" max="13568" width="12" style="82"/>
    <col min="13569" max="13569" width="4.44140625" style="82" customWidth="1"/>
    <col min="13570" max="13570" width="40.21875" style="82" customWidth="1"/>
    <col min="13571" max="13571" width="12" style="82"/>
    <col min="13572" max="13572" width="14.6640625" style="82" customWidth="1"/>
    <col min="13573" max="13573" width="12" style="82"/>
    <col min="13574" max="13574" width="12.33203125" style="82" customWidth="1"/>
    <col min="13575" max="13575" width="15.21875" style="82" customWidth="1"/>
    <col min="13576" max="13577" width="12" style="82"/>
    <col min="13578" max="13578" width="9" style="82" customWidth="1"/>
    <col min="13579" max="13579" width="12" style="82"/>
    <col min="13580" max="13580" width="10.5546875" style="82" customWidth="1"/>
    <col min="13581" max="13581" width="12" style="82"/>
    <col min="13582" max="13582" width="12.88671875" style="82" customWidth="1"/>
    <col min="13583" max="13583" width="8.5546875" style="82" customWidth="1"/>
    <col min="13584" max="13824" width="12" style="82"/>
    <col min="13825" max="13825" width="4.44140625" style="82" customWidth="1"/>
    <col min="13826" max="13826" width="40.21875" style="82" customWidth="1"/>
    <col min="13827" max="13827" width="12" style="82"/>
    <col min="13828" max="13828" width="14.6640625" style="82" customWidth="1"/>
    <col min="13829" max="13829" width="12" style="82"/>
    <col min="13830" max="13830" width="12.33203125" style="82" customWidth="1"/>
    <col min="13831" max="13831" width="15.21875" style="82" customWidth="1"/>
    <col min="13832" max="13833" width="12" style="82"/>
    <col min="13834" max="13834" width="9" style="82" customWidth="1"/>
    <col min="13835" max="13835" width="12" style="82"/>
    <col min="13836" max="13836" width="10.5546875" style="82" customWidth="1"/>
    <col min="13837" max="13837" width="12" style="82"/>
    <col min="13838" max="13838" width="12.88671875" style="82" customWidth="1"/>
    <col min="13839" max="13839" width="8.5546875" style="82" customWidth="1"/>
    <col min="13840" max="14080" width="12" style="82"/>
    <col min="14081" max="14081" width="4.44140625" style="82" customWidth="1"/>
    <col min="14082" max="14082" width="40.21875" style="82" customWidth="1"/>
    <col min="14083" max="14083" width="12" style="82"/>
    <col min="14084" max="14084" width="14.6640625" style="82" customWidth="1"/>
    <col min="14085" max="14085" width="12" style="82"/>
    <col min="14086" max="14086" width="12.33203125" style="82" customWidth="1"/>
    <col min="14087" max="14087" width="15.21875" style="82" customWidth="1"/>
    <col min="14088" max="14089" width="12" style="82"/>
    <col min="14090" max="14090" width="9" style="82" customWidth="1"/>
    <col min="14091" max="14091" width="12" style="82"/>
    <col min="14092" max="14092" width="10.5546875" style="82" customWidth="1"/>
    <col min="14093" max="14093" width="12" style="82"/>
    <col min="14094" max="14094" width="12.88671875" style="82" customWidth="1"/>
    <col min="14095" max="14095" width="8.5546875" style="82" customWidth="1"/>
    <col min="14096" max="14336" width="12" style="82"/>
    <col min="14337" max="14337" width="4.44140625" style="82" customWidth="1"/>
    <col min="14338" max="14338" width="40.21875" style="82" customWidth="1"/>
    <col min="14339" max="14339" width="12" style="82"/>
    <col min="14340" max="14340" width="14.6640625" style="82" customWidth="1"/>
    <col min="14341" max="14341" width="12" style="82"/>
    <col min="14342" max="14342" width="12.33203125" style="82" customWidth="1"/>
    <col min="14343" max="14343" width="15.21875" style="82" customWidth="1"/>
    <col min="14344" max="14345" width="12" style="82"/>
    <col min="14346" max="14346" width="9" style="82" customWidth="1"/>
    <col min="14347" max="14347" width="12" style="82"/>
    <col min="14348" max="14348" width="10.5546875" style="82" customWidth="1"/>
    <col min="14349" max="14349" width="12" style="82"/>
    <col min="14350" max="14350" width="12.88671875" style="82" customWidth="1"/>
    <col min="14351" max="14351" width="8.5546875" style="82" customWidth="1"/>
    <col min="14352" max="14592" width="12" style="82"/>
    <col min="14593" max="14593" width="4.44140625" style="82" customWidth="1"/>
    <col min="14594" max="14594" width="40.21875" style="82" customWidth="1"/>
    <col min="14595" max="14595" width="12" style="82"/>
    <col min="14596" max="14596" width="14.6640625" style="82" customWidth="1"/>
    <col min="14597" max="14597" width="12" style="82"/>
    <col min="14598" max="14598" width="12.33203125" style="82" customWidth="1"/>
    <col min="14599" max="14599" width="15.21875" style="82" customWidth="1"/>
    <col min="14600" max="14601" width="12" style="82"/>
    <col min="14602" max="14602" width="9" style="82" customWidth="1"/>
    <col min="14603" max="14603" width="12" style="82"/>
    <col min="14604" max="14604" width="10.5546875" style="82" customWidth="1"/>
    <col min="14605" max="14605" width="12" style="82"/>
    <col min="14606" max="14606" width="12.88671875" style="82" customWidth="1"/>
    <col min="14607" max="14607" width="8.5546875" style="82" customWidth="1"/>
    <col min="14608" max="14848" width="12" style="82"/>
    <col min="14849" max="14849" width="4.44140625" style="82" customWidth="1"/>
    <col min="14850" max="14850" width="40.21875" style="82" customWidth="1"/>
    <col min="14851" max="14851" width="12" style="82"/>
    <col min="14852" max="14852" width="14.6640625" style="82" customWidth="1"/>
    <col min="14853" max="14853" width="12" style="82"/>
    <col min="14854" max="14854" width="12.33203125" style="82" customWidth="1"/>
    <col min="14855" max="14855" width="15.21875" style="82" customWidth="1"/>
    <col min="14856" max="14857" width="12" style="82"/>
    <col min="14858" max="14858" width="9" style="82" customWidth="1"/>
    <col min="14859" max="14859" width="12" style="82"/>
    <col min="14860" max="14860" width="10.5546875" style="82" customWidth="1"/>
    <col min="14861" max="14861" width="12" style="82"/>
    <col min="14862" max="14862" width="12.88671875" style="82" customWidth="1"/>
    <col min="14863" max="14863" width="8.5546875" style="82" customWidth="1"/>
    <col min="14864" max="15104" width="12" style="82"/>
    <col min="15105" max="15105" width="4.44140625" style="82" customWidth="1"/>
    <col min="15106" max="15106" width="40.21875" style="82" customWidth="1"/>
    <col min="15107" max="15107" width="12" style="82"/>
    <col min="15108" max="15108" width="14.6640625" style="82" customWidth="1"/>
    <col min="15109" max="15109" width="12" style="82"/>
    <col min="15110" max="15110" width="12.33203125" style="82" customWidth="1"/>
    <col min="15111" max="15111" width="15.21875" style="82" customWidth="1"/>
    <col min="15112" max="15113" width="12" style="82"/>
    <col min="15114" max="15114" width="9" style="82" customWidth="1"/>
    <col min="15115" max="15115" width="12" style="82"/>
    <col min="15116" max="15116" width="10.5546875" style="82" customWidth="1"/>
    <col min="15117" max="15117" width="12" style="82"/>
    <col min="15118" max="15118" width="12.88671875" style="82" customWidth="1"/>
    <col min="15119" max="15119" width="8.5546875" style="82" customWidth="1"/>
    <col min="15120" max="15360" width="12" style="82"/>
    <col min="15361" max="15361" width="4.44140625" style="82" customWidth="1"/>
    <col min="15362" max="15362" width="40.21875" style="82" customWidth="1"/>
    <col min="15363" max="15363" width="12" style="82"/>
    <col min="15364" max="15364" width="14.6640625" style="82" customWidth="1"/>
    <col min="15365" max="15365" width="12" style="82"/>
    <col min="15366" max="15366" width="12.33203125" style="82" customWidth="1"/>
    <col min="15367" max="15367" width="15.21875" style="82" customWidth="1"/>
    <col min="15368" max="15369" width="12" style="82"/>
    <col min="15370" max="15370" width="9" style="82" customWidth="1"/>
    <col min="15371" max="15371" width="12" style="82"/>
    <col min="15372" max="15372" width="10.5546875" style="82" customWidth="1"/>
    <col min="15373" max="15373" width="12" style="82"/>
    <col min="15374" max="15374" width="12.88671875" style="82" customWidth="1"/>
    <col min="15375" max="15375" width="8.5546875" style="82" customWidth="1"/>
    <col min="15376" max="15616" width="12" style="82"/>
    <col min="15617" max="15617" width="4.44140625" style="82" customWidth="1"/>
    <col min="15618" max="15618" width="40.21875" style="82" customWidth="1"/>
    <col min="15619" max="15619" width="12" style="82"/>
    <col min="15620" max="15620" width="14.6640625" style="82" customWidth="1"/>
    <col min="15621" max="15621" width="12" style="82"/>
    <col min="15622" max="15622" width="12.33203125" style="82" customWidth="1"/>
    <col min="15623" max="15623" width="15.21875" style="82" customWidth="1"/>
    <col min="15624" max="15625" width="12" style="82"/>
    <col min="15626" max="15626" width="9" style="82" customWidth="1"/>
    <col min="15627" max="15627" width="12" style="82"/>
    <col min="15628" max="15628" width="10.5546875" style="82" customWidth="1"/>
    <col min="15629" max="15629" width="12" style="82"/>
    <col min="15630" max="15630" width="12.88671875" style="82" customWidth="1"/>
    <col min="15631" max="15631" width="8.5546875" style="82" customWidth="1"/>
    <col min="15632" max="15872" width="12" style="82"/>
    <col min="15873" max="15873" width="4.44140625" style="82" customWidth="1"/>
    <col min="15874" max="15874" width="40.21875" style="82" customWidth="1"/>
    <col min="15875" max="15875" width="12" style="82"/>
    <col min="15876" max="15876" width="14.6640625" style="82" customWidth="1"/>
    <col min="15877" max="15877" width="12" style="82"/>
    <col min="15878" max="15878" width="12.33203125" style="82" customWidth="1"/>
    <col min="15879" max="15879" width="15.21875" style="82" customWidth="1"/>
    <col min="15880" max="15881" width="12" style="82"/>
    <col min="15882" max="15882" width="9" style="82" customWidth="1"/>
    <col min="15883" max="15883" width="12" style="82"/>
    <col min="15884" max="15884" width="10.5546875" style="82" customWidth="1"/>
    <col min="15885" max="15885" width="12" style="82"/>
    <col min="15886" max="15886" width="12.88671875" style="82" customWidth="1"/>
    <col min="15887" max="15887" width="8.5546875" style="82" customWidth="1"/>
    <col min="15888" max="16128" width="12" style="82"/>
    <col min="16129" max="16129" width="4.44140625" style="82" customWidth="1"/>
    <col min="16130" max="16130" width="40.21875" style="82" customWidth="1"/>
    <col min="16131" max="16131" width="12" style="82"/>
    <col min="16132" max="16132" width="14.6640625" style="82" customWidth="1"/>
    <col min="16133" max="16133" width="12" style="82"/>
    <col min="16134" max="16134" width="12.33203125" style="82" customWidth="1"/>
    <col min="16135" max="16135" width="15.21875" style="82" customWidth="1"/>
    <col min="16136" max="16137" width="12" style="82"/>
    <col min="16138" max="16138" width="9" style="82" customWidth="1"/>
    <col min="16139" max="16139" width="12" style="82"/>
    <col min="16140" max="16140" width="10.5546875" style="82" customWidth="1"/>
    <col min="16141" max="16141" width="12" style="82"/>
    <col min="16142" max="16142" width="12.88671875" style="82" customWidth="1"/>
    <col min="16143" max="16143" width="8.5546875" style="82" customWidth="1"/>
    <col min="16144" max="16384" width="12" style="82"/>
  </cols>
  <sheetData>
    <row r="1" spans="1:13" ht="21">
      <c r="A1" s="79"/>
      <c r="B1" s="80"/>
      <c r="C1" s="79"/>
      <c r="D1" s="79"/>
      <c r="E1" s="79"/>
      <c r="F1" s="79"/>
      <c r="G1" s="79"/>
      <c r="H1" s="81"/>
      <c r="I1" s="79"/>
      <c r="K1" s="83"/>
      <c r="M1" s="79"/>
    </row>
    <row r="2" spans="1:13" ht="21" customHeight="1">
      <c r="B2" s="217" t="s">
        <v>123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</row>
    <row r="3" spans="1:13" ht="17.399999999999999" hidden="1">
      <c r="A3" s="84"/>
      <c r="B3" s="85"/>
      <c r="C3" s="84"/>
      <c r="D3" s="84"/>
      <c r="E3" s="84"/>
      <c r="F3" s="84"/>
      <c r="G3" s="84"/>
      <c r="H3" s="86"/>
      <c r="I3" s="84"/>
      <c r="J3" s="84"/>
      <c r="K3" s="84"/>
      <c r="L3" s="84"/>
      <c r="M3" s="87"/>
    </row>
    <row r="4" spans="1:13" hidden="1">
      <c r="A4" s="79"/>
      <c r="B4" s="88"/>
      <c r="C4" s="89"/>
      <c r="D4" s="89"/>
      <c r="E4" s="79"/>
      <c r="F4" s="89"/>
      <c r="G4" s="89"/>
      <c r="H4" s="90"/>
      <c r="I4" s="89"/>
      <c r="J4" s="79"/>
      <c r="K4" s="79"/>
      <c r="L4" s="79"/>
      <c r="M4" s="79"/>
    </row>
    <row r="5" spans="1:13" hidden="1">
      <c r="A5" s="91" t="s">
        <v>51</v>
      </c>
      <c r="B5" s="92" t="s">
        <v>52</v>
      </c>
      <c r="C5" s="89"/>
      <c r="D5" s="89"/>
      <c r="E5" s="79" t="s">
        <v>53</v>
      </c>
      <c r="F5" s="93" t="s">
        <v>54</v>
      </c>
      <c r="G5" s="93"/>
      <c r="H5" s="94"/>
      <c r="I5" s="93"/>
      <c r="J5" s="79"/>
      <c r="K5" s="79"/>
      <c r="L5" s="79"/>
      <c r="M5" s="79"/>
    </row>
    <row r="6" spans="1:13" hidden="1">
      <c r="A6" s="91" t="s">
        <v>55</v>
      </c>
      <c r="B6" s="92" t="s">
        <v>56</v>
      </c>
      <c r="C6" s="95"/>
      <c r="D6" s="95"/>
      <c r="E6" s="79" t="s">
        <v>53</v>
      </c>
      <c r="F6" s="96">
        <v>24980012</v>
      </c>
      <c r="G6" s="93"/>
      <c r="H6" s="94"/>
      <c r="I6" s="93"/>
      <c r="J6" s="79"/>
      <c r="K6" s="79"/>
      <c r="L6" s="79"/>
      <c r="M6" s="79"/>
    </row>
    <row r="7" spans="1:13" hidden="1">
      <c r="A7" s="91" t="s">
        <v>57</v>
      </c>
      <c r="B7" s="92" t="s">
        <v>58</v>
      </c>
      <c r="C7" s="97"/>
      <c r="D7" s="97"/>
      <c r="E7" s="79" t="s">
        <v>53</v>
      </c>
      <c r="F7" s="93" t="s">
        <v>59</v>
      </c>
      <c r="G7" s="93"/>
      <c r="H7" s="94"/>
      <c r="I7" s="93"/>
      <c r="J7" s="79"/>
      <c r="K7" s="79"/>
      <c r="L7" s="79"/>
      <c r="M7" s="79"/>
    </row>
    <row r="8" spans="1:13" hidden="1">
      <c r="A8" s="91"/>
      <c r="B8" s="92"/>
      <c r="C8" s="97"/>
      <c r="D8" s="97" t="s">
        <v>60</v>
      </c>
      <c r="E8" s="79"/>
      <c r="F8" s="79"/>
      <c r="G8" s="79"/>
      <c r="H8" s="81"/>
      <c r="I8" s="79"/>
      <c r="J8" s="79"/>
      <c r="K8" s="79"/>
      <c r="L8" s="79"/>
      <c r="M8" s="79"/>
    </row>
    <row r="9" spans="1:13" hidden="1">
      <c r="A9" s="91" t="s">
        <v>61</v>
      </c>
      <c r="B9" s="92" t="s">
        <v>62</v>
      </c>
      <c r="C9" s="97"/>
      <c r="D9" s="97"/>
      <c r="E9" s="79"/>
      <c r="F9" s="79"/>
      <c r="G9" s="79"/>
      <c r="H9" s="81"/>
      <c r="I9" s="98">
        <v>240</v>
      </c>
      <c r="J9" s="79"/>
      <c r="K9" s="79"/>
      <c r="L9" s="79"/>
      <c r="M9" s="79"/>
    </row>
    <row r="10" spans="1:13" hidden="1">
      <c r="A10" s="91" t="s">
        <v>63</v>
      </c>
      <c r="B10" s="92" t="s">
        <v>64</v>
      </c>
      <c r="C10" s="97"/>
      <c r="D10" s="97"/>
      <c r="E10" s="79"/>
      <c r="F10" s="79"/>
      <c r="G10" s="79"/>
      <c r="H10" s="81"/>
      <c r="I10" s="99">
        <v>2</v>
      </c>
      <c r="J10" s="100"/>
      <c r="K10" s="79"/>
      <c r="L10" s="79"/>
      <c r="M10" s="79"/>
    </row>
    <row r="11" spans="1:13" hidden="1">
      <c r="A11" s="91" t="s">
        <v>65</v>
      </c>
      <c r="B11" s="92" t="s">
        <v>66</v>
      </c>
      <c r="C11" s="97"/>
      <c r="D11" s="97"/>
      <c r="E11" s="79"/>
      <c r="F11" s="79"/>
      <c r="G11" s="79"/>
      <c r="H11" s="81"/>
      <c r="I11" s="98">
        <v>20</v>
      </c>
      <c r="J11" s="79"/>
      <c r="K11" s="79"/>
      <c r="L11" s="79"/>
      <c r="M11" s="79"/>
    </row>
    <row r="12" spans="1:13" hidden="1">
      <c r="A12" s="91" t="s">
        <v>67</v>
      </c>
      <c r="B12" s="92" t="s">
        <v>68</v>
      </c>
      <c r="C12" s="97"/>
      <c r="D12" s="97"/>
      <c r="E12" s="79"/>
      <c r="F12" s="79" t="s">
        <v>69</v>
      </c>
      <c r="G12" s="79"/>
      <c r="H12" s="81"/>
      <c r="I12" s="101">
        <f>IF(OR(OR(I9=0,I10=0),I11=0),"",+I9*(1+(I10*I11/100)))</f>
        <v>336</v>
      </c>
      <c r="J12" s="79"/>
      <c r="K12" s="79"/>
      <c r="L12" s="79"/>
      <c r="M12" s="79"/>
    </row>
    <row r="13" spans="1:13" hidden="1">
      <c r="A13" s="91"/>
      <c r="B13" s="92"/>
      <c r="C13" s="97"/>
      <c r="D13" s="97"/>
      <c r="E13" s="79"/>
      <c r="F13" s="79"/>
      <c r="G13" s="79"/>
      <c r="H13" s="81"/>
      <c r="I13" s="79"/>
      <c r="J13" s="79"/>
      <c r="K13" s="79"/>
      <c r="L13" s="79"/>
      <c r="M13" s="79"/>
    </row>
    <row r="14" spans="1:13" hidden="1">
      <c r="A14" s="91" t="s">
        <v>70</v>
      </c>
      <c r="B14" s="92" t="s">
        <v>71</v>
      </c>
      <c r="C14" s="97"/>
      <c r="D14" s="97"/>
      <c r="E14" s="79"/>
      <c r="F14" s="79"/>
      <c r="G14" s="79"/>
      <c r="H14" s="81"/>
      <c r="I14" s="98">
        <v>70</v>
      </c>
      <c r="J14" s="79"/>
      <c r="K14" s="79"/>
      <c r="L14" s="79"/>
      <c r="M14" s="79"/>
    </row>
    <row r="15" spans="1:13" hidden="1">
      <c r="A15" s="91"/>
      <c r="B15" s="92"/>
      <c r="C15" s="97"/>
      <c r="D15" s="97"/>
      <c r="E15" s="79"/>
      <c r="F15" s="79"/>
      <c r="G15" s="79"/>
      <c r="H15" s="81"/>
      <c r="I15" s="102"/>
      <c r="J15" s="79"/>
      <c r="K15" s="79"/>
      <c r="L15" s="79"/>
      <c r="M15" s="79"/>
    </row>
    <row r="16" spans="1:13" hidden="1">
      <c r="A16" s="91" t="s">
        <v>72</v>
      </c>
      <c r="B16" s="92" t="s">
        <v>73</v>
      </c>
      <c r="C16" s="97"/>
      <c r="D16" s="97"/>
      <c r="E16" s="79"/>
      <c r="F16" s="79" t="s">
        <v>74</v>
      </c>
      <c r="G16" s="79"/>
      <c r="H16" s="81"/>
      <c r="I16" s="103">
        <f>IF(OR(I12=0,I12=0),"",+I12*I14/86400)</f>
        <v>0.2722222222222222</v>
      </c>
      <c r="J16" s="79"/>
      <c r="K16" s="79"/>
      <c r="L16" s="79"/>
      <c r="M16" s="79"/>
    </row>
    <row r="17" spans="1:15" hidden="1">
      <c r="A17" s="91"/>
      <c r="B17" s="92"/>
      <c r="C17" s="97"/>
      <c r="D17" s="97"/>
      <c r="E17" s="79"/>
      <c r="F17" s="79"/>
      <c r="G17" s="79"/>
      <c r="H17" s="81"/>
      <c r="I17" s="104"/>
      <c r="J17" s="79"/>
      <c r="K17" s="79"/>
      <c r="L17" s="79"/>
      <c r="M17" s="79"/>
    </row>
    <row r="18" spans="1:15" hidden="1">
      <c r="A18" s="91" t="s">
        <v>75</v>
      </c>
      <c r="B18" s="92" t="s">
        <v>76</v>
      </c>
      <c r="C18" s="97"/>
      <c r="D18" s="97"/>
      <c r="E18" s="79"/>
      <c r="F18" s="79" t="s">
        <v>77</v>
      </c>
      <c r="G18" s="79"/>
      <c r="H18" s="81"/>
      <c r="I18" s="103">
        <f>IF(I12=0,"",1.3*I16)</f>
        <v>0.35388888888888886</v>
      </c>
      <c r="J18" s="79" t="str">
        <f>IF(I20&lt;I18,"LA FUENTE NO ABASTECE","OK.")</f>
        <v>OK.</v>
      </c>
      <c r="K18" s="79"/>
      <c r="L18" s="79"/>
      <c r="M18" s="79"/>
    </row>
    <row r="19" spans="1:15" hidden="1">
      <c r="A19" s="91"/>
      <c r="B19" s="92"/>
      <c r="C19" s="97"/>
      <c r="D19" s="97"/>
      <c r="E19" s="79"/>
      <c r="F19" s="79"/>
      <c r="G19" s="79"/>
      <c r="H19" s="81"/>
      <c r="I19" s="79"/>
      <c r="J19" s="79"/>
      <c r="K19" s="79"/>
      <c r="L19" s="79"/>
      <c r="M19" s="79"/>
    </row>
    <row r="20" spans="1:15" hidden="1">
      <c r="A20" s="91" t="s">
        <v>78</v>
      </c>
      <c r="B20" s="92" t="s">
        <v>79</v>
      </c>
      <c r="C20" s="97"/>
      <c r="D20" s="97"/>
      <c r="E20" s="79"/>
      <c r="F20" s="79"/>
      <c r="G20" s="79"/>
      <c r="H20" s="81"/>
      <c r="I20" s="105">
        <v>5</v>
      </c>
      <c r="J20" s="79"/>
      <c r="K20" s="79"/>
      <c r="L20" s="79"/>
      <c r="M20" s="79"/>
    </row>
    <row r="21" spans="1:15" hidden="1">
      <c r="A21" s="91"/>
      <c r="B21" s="92"/>
      <c r="C21" s="97"/>
      <c r="D21" s="97"/>
      <c r="E21" s="79"/>
      <c r="F21" s="79"/>
      <c r="G21" s="106" t="s">
        <v>80</v>
      </c>
      <c r="H21" s="81"/>
      <c r="I21" s="79"/>
      <c r="J21" s="79"/>
      <c r="K21" s="79"/>
      <c r="L21" s="79"/>
      <c r="M21" s="79"/>
    </row>
    <row r="22" spans="1:15" hidden="1">
      <c r="A22" s="91" t="s">
        <v>81</v>
      </c>
      <c r="B22" s="92" t="s">
        <v>82</v>
      </c>
      <c r="C22" s="97"/>
      <c r="D22" s="97"/>
      <c r="E22" s="79"/>
      <c r="G22" s="79"/>
      <c r="H22" s="81"/>
      <c r="M22" s="107" t="str">
        <f>+IF(H24=1,"horas de bombeo = ","")</f>
        <v/>
      </c>
      <c r="N22" s="108">
        <v>12</v>
      </c>
    </row>
    <row r="23" spans="1:15" hidden="1">
      <c r="A23" s="91"/>
      <c r="B23" s="80" t="s">
        <v>83</v>
      </c>
      <c r="C23" s="97"/>
      <c r="D23" s="97"/>
      <c r="E23" s="79"/>
      <c r="F23" s="109" t="s">
        <v>84</v>
      </c>
      <c r="G23" s="80" t="s">
        <v>85</v>
      </c>
      <c r="H23" s="110">
        <v>1</v>
      </c>
      <c r="N23" s="111" t="s">
        <v>86</v>
      </c>
      <c r="O23" s="112"/>
    </row>
    <row r="24" spans="1:15" hidden="1">
      <c r="A24" s="91"/>
      <c r="B24" s="92" t="s">
        <v>87</v>
      </c>
      <c r="C24" s="97"/>
      <c r="D24" s="97"/>
      <c r="E24" s="79"/>
      <c r="G24" s="80" t="s">
        <v>88</v>
      </c>
      <c r="H24" s="110"/>
      <c r="I24" s="103">
        <f>IF(AND(H24=0,H23=0),"",IF(AND(H24=0,H23=1),0.25*I16*86.4,0.3*I16*86.4))</f>
        <v>5.88</v>
      </c>
      <c r="J24" s="113" t="str">
        <f>IF(H24=1,I18*24/N22,"")</f>
        <v/>
      </c>
      <c r="K24" s="114"/>
      <c r="L24" s="115"/>
      <c r="M24" s="116"/>
      <c r="N24" s="111" t="s">
        <v>89</v>
      </c>
      <c r="O24" s="112"/>
    </row>
    <row r="25" spans="1:15" hidden="1">
      <c r="A25" s="91"/>
      <c r="B25" s="92"/>
      <c r="C25" s="97"/>
      <c r="D25" s="97"/>
      <c r="E25" s="79"/>
      <c r="F25" s="117"/>
      <c r="L25" s="115" t="s">
        <v>90</v>
      </c>
      <c r="M25" s="116">
        <v>2.6</v>
      </c>
      <c r="N25" s="119">
        <v>2.6</v>
      </c>
    </row>
    <row r="26" spans="1:15" hidden="1">
      <c r="A26" s="91"/>
      <c r="C26" s="97"/>
      <c r="D26" s="97"/>
      <c r="E26" s="79"/>
      <c r="G26" s="79" t="s">
        <v>91</v>
      </c>
      <c r="H26" s="81"/>
      <c r="I26" s="121">
        <f>+ROUNDUP(I24,0)</f>
        <v>6</v>
      </c>
      <c r="J26" s="79" t="str">
        <f>IF(I26&lt;I24,"EL VOLUMEN DEBE SER MAYOR","OK.")</f>
        <v>OK.</v>
      </c>
      <c r="L26" s="122" t="s">
        <v>92</v>
      </c>
      <c r="M26" s="123">
        <f>+(I26/PI()/M25)^0.5</f>
        <v>0.85706550263602821</v>
      </c>
      <c r="N26" s="124">
        <v>2.27</v>
      </c>
    </row>
    <row r="27" spans="1:15" hidden="1">
      <c r="A27" s="91"/>
      <c r="B27" s="92"/>
      <c r="C27" s="97"/>
      <c r="D27" s="97"/>
      <c r="E27" s="79"/>
      <c r="F27" s="79"/>
      <c r="G27" s="79"/>
      <c r="H27" s="81"/>
      <c r="I27" s="79"/>
      <c r="K27" s="79"/>
      <c r="L27" s="79"/>
      <c r="M27" s="79"/>
      <c r="N27" s="125" t="s">
        <v>93</v>
      </c>
      <c r="O27" s="126">
        <f>+PI()*N26*N25</f>
        <v>18.54167984148696</v>
      </c>
    </row>
    <row r="28" spans="1:15" hidden="1">
      <c r="A28" s="91" t="s">
        <v>94</v>
      </c>
      <c r="B28" s="92" t="s">
        <v>95</v>
      </c>
      <c r="C28" s="79"/>
      <c r="D28" s="79"/>
      <c r="E28" s="79"/>
      <c r="F28" s="79" t="s">
        <v>96</v>
      </c>
      <c r="G28" s="79"/>
      <c r="H28" s="81"/>
      <c r="I28" s="127">
        <f>IF(I16=0,"",+I16*G29)</f>
        <v>0.68055555555555547</v>
      </c>
      <c r="J28" s="79"/>
      <c r="K28" s="79"/>
      <c r="L28" s="79"/>
      <c r="M28" s="79"/>
    </row>
    <row r="29" spans="1:15" hidden="1">
      <c r="A29" s="91"/>
      <c r="B29" s="92"/>
      <c r="C29" s="79"/>
      <c r="D29" s="79"/>
      <c r="E29" s="79"/>
      <c r="F29" s="115" t="s">
        <v>97</v>
      </c>
      <c r="G29" s="128">
        <v>2.5</v>
      </c>
      <c r="H29" s="81"/>
      <c r="I29" s="79"/>
      <c r="J29" s="79"/>
      <c r="K29" s="79"/>
      <c r="L29" s="79"/>
      <c r="M29" s="79"/>
    </row>
    <row r="30" spans="1:15" hidden="1">
      <c r="A30" s="115"/>
      <c r="B30" s="80"/>
      <c r="C30" s="79"/>
      <c r="D30" s="79"/>
      <c r="E30" s="79"/>
      <c r="F30" s="79"/>
      <c r="G30" s="79"/>
      <c r="H30" s="81"/>
      <c r="I30" s="79"/>
      <c r="J30" s="79"/>
      <c r="K30" s="79"/>
      <c r="L30" s="79"/>
      <c r="M30" s="79"/>
    </row>
    <row r="31" spans="1:15" hidden="1">
      <c r="A31" s="122"/>
      <c r="B31" s="129" t="s">
        <v>98</v>
      </c>
      <c r="C31" s="130"/>
      <c r="D31" s="131"/>
      <c r="E31" s="131"/>
      <c r="F31" s="131"/>
      <c r="G31" s="131"/>
      <c r="H31" s="132"/>
      <c r="I31" s="131"/>
      <c r="J31" s="131"/>
      <c r="K31" s="131"/>
      <c r="L31" s="133"/>
      <c r="M31" s="134"/>
    </row>
    <row r="32" spans="1:15" hidden="1">
      <c r="A32" s="122"/>
      <c r="B32" s="135" t="s">
        <v>99</v>
      </c>
      <c r="C32" s="136" t="s">
        <v>100</v>
      </c>
      <c r="D32" s="136" t="s">
        <v>101</v>
      </c>
      <c r="E32" s="136" t="s">
        <v>102</v>
      </c>
      <c r="F32" s="135" t="s">
        <v>103</v>
      </c>
      <c r="G32" s="135" t="s">
        <v>104</v>
      </c>
      <c r="H32" s="137" t="s">
        <v>105</v>
      </c>
      <c r="I32" s="136" t="s">
        <v>106</v>
      </c>
      <c r="J32" s="135" t="s">
        <v>1</v>
      </c>
      <c r="K32" s="138" t="s">
        <v>107</v>
      </c>
      <c r="L32" s="139" t="s">
        <v>108</v>
      </c>
      <c r="M32" s="134"/>
    </row>
    <row r="33" spans="1:13" hidden="1">
      <c r="A33" s="122"/>
      <c r="B33" s="140"/>
      <c r="C33" s="141"/>
      <c r="D33" s="142"/>
      <c r="E33" s="143"/>
      <c r="F33" s="143"/>
      <c r="G33" s="143"/>
      <c r="H33" s="144"/>
      <c r="I33" s="143"/>
      <c r="J33" s="143"/>
      <c r="K33" s="145" t="str">
        <f>IF(C33=0,"",C33)</f>
        <v/>
      </c>
      <c r="L33" s="146"/>
      <c r="M33" s="134"/>
    </row>
    <row r="34" spans="1:13" hidden="1">
      <c r="A34" s="122"/>
      <c r="B34" s="147" t="s">
        <v>109</v>
      </c>
      <c r="C34" s="148">
        <v>2975.44</v>
      </c>
      <c r="D34" s="149"/>
      <c r="E34" s="150" t="str">
        <f t="shared" ref="E34:E46" si="0">IF(OR(OR($I$18=0,C34=0),D34=0),"",$I$18)</f>
        <v/>
      </c>
      <c r="F34" s="150" t="str">
        <f t="shared" ref="F34:F46" si="1">IF(OR(OR(C33=0,C34=0),D34=0),"",((C33-C34)/D34))</f>
        <v/>
      </c>
      <c r="G34" s="150" t="str">
        <f t="shared" ref="G34:G46" si="2">IF(OR(E34=0,F34=0),"",(E34/(0.0597*(F34^0.54)))^(1/2.63))</f>
        <v/>
      </c>
      <c r="H34" s="151"/>
      <c r="I34" s="150" t="str">
        <f t="shared" ref="I34:I46" si="3">IF(OR(E34=0,H34=0),"",(E34/(3141.6*0.25*(H34*0.0254)^2)))</f>
        <v/>
      </c>
      <c r="J34" s="150" t="str">
        <f t="shared" ref="J34:J46" si="4">IF(OR(OR(E34=0,D34=0),H34=0),"",(1.72*10^6*D34*E34^1.85/140^1.85/H34^4.87))</f>
        <v/>
      </c>
      <c r="K34" s="152">
        <f>+C34</f>
        <v>2975.44</v>
      </c>
      <c r="L34" s="153">
        <f t="shared" ref="L34:L46" si="5">IF(OR(C34=0,K34=0),"",+K34-C34)</f>
        <v>0</v>
      </c>
      <c r="M34" s="134"/>
    </row>
    <row r="35" spans="1:13" hidden="1">
      <c r="A35" s="122"/>
      <c r="B35" s="154">
        <v>1</v>
      </c>
      <c r="C35" s="148">
        <v>2900</v>
      </c>
      <c r="D35" s="149">
        <v>0.57299999999999995</v>
      </c>
      <c r="E35" s="150">
        <f>+I18</f>
        <v>0.35388888888888886</v>
      </c>
      <c r="F35" s="150">
        <f t="shared" si="1"/>
        <v>131.65794066317636</v>
      </c>
      <c r="G35" s="150">
        <f t="shared" si="2"/>
        <v>0.72227714480536942</v>
      </c>
      <c r="H35" s="151">
        <v>2</v>
      </c>
      <c r="I35" s="150">
        <f t="shared" si="3"/>
        <v>0.17460175542256415</v>
      </c>
      <c r="J35" s="150">
        <f t="shared" si="4"/>
        <v>0.52812161095956089</v>
      </c>
      <c r="K35" s="152">
        <f t="shared" ref="K35:K44" si="6">IF(OR(C34=0,J35=0),"",C34-J35)</f>
        <v>2974.9118783890403</v>
      </c>
      <c r="L35" s="153">
        <f t="shared" si="5"/>
        <v>74.911878389040339</v>
      </c>
      <c r="M35" s="134"/>
    </row>
    <row r="36" spans="1:13" hidden="1">
      <c r="A36" s="122"/>
      <c r="B36" s="154">
        <v>2</v>
      </c>
      <c r="C36" s="148">
        <v>2825</v>
      </c>
      <c r="D36" s="149">
        <v>0.193</v>
      </c>
      <c r="E36" s="150">
        <f t="shared" si="0"/>
        <v>0.35388888888888886</v>
      </c>
      <c r="F36" s="150">
        <f t="shared" si="1"/>
        <v>388.60103626943004</v>
      </c>
      <c r="G36" s="150">
        <f t="shared" si="2"/>
        <v>0.5783493998496555</v>
      </c>
      <c r="H36" s="151">
        <v>2</v>
      </c>
      <c r="I36" s="150">
        <f t="shared" si="3"/>
        <v>0.17460175542256415</v>
      </c>
      <c r="J36" s="150">
        <f t="shared" si="4"/>
        <v>0.1778838933947561</v>
      </c>
      <c r="K36" s="152">
        <f t="shared" si="6"/>
        <v>2899.8221161066053</v>
      </c>
      <c r="L36" s="153">
        <f t="shared" si="5"/>
        <v>74.822116106605336</v>
      </c>
      <c r="M36" s="134"/>
    </row>
    <row r="37" spans="1:13" hidden="1">
      <c r="A37" s="122"/>
      <c r="B37" s="154">
        <v>3</v>
      </c>
      <c r="C37" s="148">
        <v>2750</v>
      </c>
      <c r="D37" s="149">
        <v>3.3889999999999998</v>
      </c>
      <c r="E37" s="150">
        <f t="shared" si="0"/>
        <v>0.35388888888888886</v>
      </c>
      <c r="F37" s="150">
        <f t="shared" si="1"/>
        <v>22.13042195337858</v>
      </c>
      <c r="G37" s="150">
        <f t="shared" si="2"/>
        <v>1.0416406789486492</v>
      </c>
      <c r="H37" s="151">
        <v>2.5</v>
      </c>
      <c r="I37" s="150">
        <f t="shared" si="3"/>
        <v>0.11174512347044102</v>
      </c>
      <c r="J37" s="150">
        <f t="shared" si="4"/>
        <v>1.053656675232902</v>
      </c>
      <c r="K37" s="152">
        <f t="shared" si="6"/>
        <v>2823.946343324767</v>
      </c>
      <c r="L37" s="153">
        <f t="shared" si="5"/>
        <v>73.946343324766985</v>
      </c>
      <c r="M37" s="134"/>
    </row>
    <row r="38" spans="1:13" hidden="1">
      <c r="A38" s="122"/>
      <c r="B38" s="154">
        <v>4</v>
      </c>
      <c r="C38" s="148">
        <v>2675</v>
      </c>
      <c r="D38" s="149">
        <v>1.671</v>
      </c>
      <c r="E38" s="150">
        <f t="shared" si="0"/>
        <v>0.35388888888888886</v>
      </c>
      <c r="F38" s="150">
        <f t="shared" si="1"/>
        <v>44.88330341113106</v>
      </c>
      <c r="G38" s="150">
        <f t="shared" si="2"/>
        <v>0.90087426616148147</v>
      </c>
      <c r="H38" s="151">
        <v>2</v>
      </c>
      <c r="I38" s="150">
        <f t="shared" si="3"/>
        <v>0.17460175542256415</v>
      </c>
      <c r="J38" s="150">
        <f t="shared" si="4"/>
        <v>1.540124279081023</v>
      </c>
      <c r="K38" s="152">
        <f t="shared" si="6"/>
        <v>2748.4598757209192</v>
      </c>
      <c r="L38" s="153">
        <f t="shared" si="5"/>
        <v>73.459875720919172</v>
      </c>
      <c r="M38" s="134"/>
    </row>
    <row r="39" spans="1:13" hidden="1">
      <c r="A39" s="122"/>
      <c r="B39" s="154">
        <v>5</v>
      </c>
      <c r="C39" s="155">
        <v>2600</v>
      </c>
      <c r="D39" s="149">
        <v>0.441</v>
      </c>
      <c r="E39" s="150">
        <f t="shared" si="0"/>
        <v>0.35388888888888886</v>
      </c>
      <c r="F39" s="150">
        <f t="shared" si="1"/>
        <v>170.06802721088437</v>
      </c>
      <c r="G39" s="150">
        <f t="shared" si="2"/>
        <v>0.68529401667428702</v>
      </c>
      <c r="H39" s="151">
        <v>1.5</v>
      </c>
      <c r="I39" s="150">
        <f t="shared" si="3"/>
        <v>0.31040312075122517</v>
      </c>
      <c r="J39" s="150">
        <f t="shared" si="4"/>
        <v>1.6499453292290878</v>
      </c>
      <c r="K39" s="152">
        <f t="shared" si="6"/>
        <v>2673.350054670771</v>
      </c>
      <c r="L39" s="153">
        <f t="shared" si="5"/>
        <v>73.350054670770987</v>
      </c>
      <c r="M39" s="134"/>
    </row>
    <row r="40" spans="1:13" hidden="1">
      <c r="A40" s="122"/>
      <c r="B40" s="154">
        <v>6</v>
      </c>
      <c r="C40" s="148">
        <v>2525</v>
      </c>
      <c r="D40" s="149">
        <v>0.16800000000000001</v>
      </c>
      <c r="E40" s="150">
        <f t="shared" si="0"/>
        <v>0.35388888888888886</v>
      </c>
      <c r="F40" s="150">
        <f t="shared" si="1"/>
        <v>446.42857142857139</v>
      </c>
      <c r="G40" s="150">
        <f t="shared" si="2"/>
        <v>0.56210826609204412</v>
      </c>
      <c r="H40" s="151">
        <v>1.5</v>
      </c>
      <c r="I40" s="150">
        <f t="shared" si="3"/>
        <v>0.31040312075122517</v>
      </c>
      <c r="J40" s="150">
        <f t="shared" si="4"/>
        <v>0.62855060161108101</v>
      </c>
      <c r="K40" s="152">
        <f t="shared" si="6"/>
        <v>2599.3714493983889</v>
      </c>
      <c r="L40" s="153">
        <f t="shared" si="5"/>
        <v>74.371449398388904</v>
      </c>
      <c r="M40" s="134"/>
    </row>
    <row r="41" spans="1:13" hidden="1">
      <c r="A41" s="122"/>
      <c r="B41" s="154">
        <v>7</v>
      </c>
      <c r="C41" s="148">
        <v>2450</v>
      </c>
      <c r="D41" s="149">
        <v>9.9000000000000005E-2</v>
      </c>
      <c r="E41" s="150">
        <f t="shared" si="0"/>
        <v>0.35388888888888886</v>
      </c>
      <c r="F41" s="150">
        <f t="shared" si="1"/>
        <v>757.57575757575751</v>
      </c>
      <c r="G41" s="150">
        <f t="shared" si="2"/>
        <v>0.50426932983231665</v>
      </c>
      <c r="H41" s="151">
        <v>1.5</v>
      </c>
      <c r="I41" s="150">
        <f t="shared" si="3"/>
        <v>0.31040312075122517</v>
      </c>
      <c r="J41" s="150">
        <f t="shared" si="4"/>
        <v>0.37039589023510139</v>
      </c>
      <c r="K41" s="152">
        <f t="shared" si="6"/>
        <v>2524.6296041097648</v>
      </c>
      <c r="L41" s="153">
        <f t="shared" si="5"/>
        <v>74.629604109764841</v>
      </c>
      <c r="M41" s="134"/>
    </row>
    <row r="42" spans="1:13" hidden="1">
      <c r="A42" s="122"/>
      <c r="B42" s="154">
        <v>8</v>
      </c>
      <c r="C42" s="148">
        <v>2375</v>
      </c>
      <c r="D42" s="149">
        <v>0.13</v>
      </c>
      <c r="E42" s="150">
        <f t="shared" si="0"/>
        <v>0.35388888888888886</v>
      </c>
      <c r="F42" s="150">
        <f t="shared" si="1"/>
        <v>576.92307692307691</v>
      </c>
      <c r="G42" s="150">
        <f t="shared" si="2"/>
        <v>0.53327836345931467</v>
      </c>
      <c r="H42" s="151">
        <v>1.5</v>
      </c>
      <c r="I42" s="150">
        <f t="shared" si="3"/>
        <v>0.31040312075122517</v>
      </c>
      <c r="J42" s="150">
        <f t="shared" si="4"/>
        <v>0.48637844172286038</v>
      </c>
      <c r="K42" s="152">
        <f t="shared" si="6"/>
        <v>2449.513621558277</v>
      </c>
      <c r="L42" s="153">
        <f t="shared" si="5"/>
        <v>74.513621558277009</v>
      </c>
      <c r="M42" s="134"/>
    </row>
    <row r="43" spans="1:13" hidden="1">
      <c r="A43" s="122"/>
      <c r="B43" s="154">
        <v>9</v>
      </c>
      <c r="C43" s="148">
        <v>2300</v>
      </c>
      <c r="D43" s="149">
        <v>0.16</v>
      </c>
      <c r="E43" s="150">
        <f t="shared" si="0"/>
        <v>0.35388888888888886</v>
      </c>
      <c r="F43" s="150">
        <f t="shared" si="1"/>
        <v>468.75</v>
      </c>
      <c r="G43" s="150">
        <f t="shared" si="2"/>
        <v>0.5565053160347615</v>
      </c>
      <c r="H43" s="151">
        <v>1.5</v>
      </c>
      <c r="I43" s="150">
        <f t="shared" si="3"/>
        <v>0.31040312075122517</v>
      </c>
      <c r="J43" s="150">
        <f t="shared" si="4"/>
        <v>0.59861962058198193</v>
      </c>
      <c r="K43" s="152">
        <f t="shared" si="6"/>
        <v>2374.4013803794182</v>
      </c>
      <c r="L43" s="153">
        <f t="shared" si="5"/>
        <v>74.401380379418242</v>
      </c>
      <c r="M43" s="134"/>
    </row>
    <row r="44" spans="1:13" hidden="1">
      <c r="A44" s="122"/>
      <c r="B44" s="154">
        <v>10</v>
      </c>
      <c r="C44" s="148">
        <v>2225</v>
      </c>
      <c r="D44" s="149">
        <v>0.11700000000000001</v>
      </c>
      <c r="E44" s="150">
        <f t="shared" si="0"/>
        <v>0.35388888888888886</v>
      </c>
      <c r="F44" s="150">
        <f t="shared" si="1"/>
        <v>641.02564102564099</v>
      </c>
      <c r="G44" s="150">
        <f t="shared" si="2"/>
        <v>0.52186586337502039</v>
      </c>
      <c r="H44" s="151">
        <v>1.5</v>
      </c>
      <c r="I44" s="150">
        <f t="shared" si="3"/>
        <v>0.31040312075122517</v>
      </c>
      <c r="J44" s="150">
        <f t="shared" si="4"/>
        <v>0.43774059755057432</v>
      </c>
      <c r="K44" s="152">
        <f t="shared" si="6"/>
        <v>2299.5622594024494</v>
      </c>
      <c r="L44" s="153">
        <f t="shared" si="5"/>
        <v>74.562259402449399</v>
      </c>
      <c r="M44" s="134"/>
    </row>
    <row r="45" spans="1:13" hidden="1">
      <c r="A45" s="122"/>
      <c r="B45" s="154">
        <v>11</v>
      </c>
      <c r="C45" s="148">
        <v>2154</v>
      </c>
      <c r="D45" s="149">
        <v>0.222</v>
      </c>
      <c r="E45" s="150">
        <f t="shared" si="0"/>
        <v>0.35388888888888886</v>
      </c>
      <c r="F45" s="150">
        <f t="shared" si="1"/>
        <v>319.81981981981983</v>
      </c>
      <c r="G45" s="150">
        <f t="shared" si="2"/>
        <v>0.60194989068789284</v>
      </c>
      <c r="H45" s="151">
        <v>1.5</v>
      </c>
      <c r="I45" s="150">
        <f t="shared" si="3"/>
        <v>0.31040312075122517</v>
      </c>
      <c r="J45" s="150">
        <f t="shared" si="4"/>
        <v>0.83058472355750002</v>
      </c>
      <c r="K45" s="152">
        <f>IF(OR(C43=0,J45=0),"",C43-J45)</f>
        <v>2299.1694152764426</v>
      </c>
      <c r="L45" s="153">
        <f t="shared" si="5"/>
        <v>145.16941527644258</v>
      </c>
      <c r="M45" s="134"/>
    </row>
    <row r="46" spans="1:13" hidden="1">
      <c r="A46" s="122"/>
      <c r="B46" s="156" t="s">
        <v>110</v>
      </c>
      <c r="C46" s="157">
        <v>2149.08</v>
      </c>
      <c r="D46" s="158">
        <v>4.2999999999999997E-2</v>
      </c>
      <c r="E46" s="150">
        <f t="shared" si="0"/>
        <v>0.35388888888888886</v>
      </c>
      <c r="F46" s="150">
        <f t="shared" si="1"/>
        <v>114.41860465116449</v>
      </c>
      <c r="G46" s="150">
        <f t="shared" si="2"/>
        <v>0.74339289425108179</v>
      </c>
      <c r="H46" s="151">
        <v>1.5</v>
      </c>
      <c r="I46" s="150">
        <f t="shared" si="3"/>
        <v>0.31040312075122517</v>
      </c>
      <c r="J46" s="150">
        <f t="shared" si="4"/>
        <v>0.16087902303140764</v>
      </c>
      <c r="K46" s="152">
        <f>IF(OR(C44=0,J46=0),"",C44-J46)</f>
        <v>2224.8391209769684</v>
      </c>
      <c r="L46" s="153">
        <f t="shared" si="5"/>
        <v>75.759120976968461</v>
      </c>
      <c r="M46" s="134"/>
    </row>
    <row r="47" spans="1:13" hidden="1">
      <c r="A47" s="122"/>
      <c r="B47" s="159"/>
      <c r="C47" s="157"/>
      <c r="D47" s="158">
        <v>7.2050000000000001</v>
      </c>
      <c r="E47" s="7"/>
      <c r="F47" s="7"/>
      <c r="G47" s="7"/>
      <c r="H47" s="160"/>
      <c r="I47" s="7"/>
      <c r="J47" s="7"/>
      <c r="K47" s="161"/>
      <c r="L47" s="7"/>
      <c r="M47" s="134"/>
    </row>
    <row r="48" spans="1:13" hidden="1">
      <c r="A48" s="122"/>
      <c r="B48" s="162"/>
      <c r="C48" s="89"/>
      <c r="D48" s="163"/>
      <c r="E48" s="79"/>
      <c r="F48" s="79"/>
      <c r="G48" s="79"/>
      <c r="H48" s="164"/>
      <c r="I48" s="79"/>
      <c r="J48" s="79"/>
      <c r="K48" s="89"/>
      <c r="L48" s="79"/>
      <c r="M48" s="134"/>
    </row>
    <row r="49" spans="1:20">
      <c r="A49" s="122"/>
      <c r="B49" s="165" t="s">
        <v>111</v>
      </c>
      <c r="C49" s="89"/>
      <c r="D49" s="163"/>
      <c r="E49" s="79"/>
      <c r="F49" s="79"/>
      <c r="G49" s="79"/>
      <c r="H49" s="164"/>
      <c r="I49" s="79"/>
      <c r="J49" s="79"/>
      <c r="K49" s="89"/>
      <c r="L49" s="79"/>
      <c r="M49" s="134"/>
    </row>
    <row r="50" spans="1:20">
      <c r="A50" s="122"/>
      <c r="C50" s="134"/>
      <c r="D50" s="134"/>
      <c r="E50" s="134" t="s">
        <v>60</v>
      </c>
      <c r="F50" s="166" t="s">
        <v>60</v>
      </c>
      <c r="G50" s="134"/>
      <c r="H50" s="167"/>
      <c r="I50" s="134"/>
      <c r="J50" s="134"/>
      <c r="K50" s="134"/>
      <c r="L50" s="134"/>
      <c r="M50" s="134"/>
    </row>
    <row r="51" spans="1:20">
      <c r="A51" s="122"/>
      <c r="B51" s="168" t="s">
        <v>112</v>
      </c>
      <c r="C51" s="130"/>
      <c r="D51" s="169"/>
      <c r="E51" s="169"/>
      <c r="F51" s="130"/>
      <c r="G51" s="131"/>
      <c r="H51" s="170"/>
      <c r="I51" s="131"/>
      <c r="J51" s="169"/>
      <c r="K51" s="131"/>
      <c r="L51" s="131"/>
      <c r="M51" s="133"/>
      <c r="O51" s="120" t="s">
        <v>113</v>
      </c>
    </row>
    <row r="52" spans="1:20">
      <c r="A52" s="122"/>
      <c r="B52" s="135" t="s">
        <v>99</v>
      </c>
      <c r="C52" s="135" t="s">
        <v>100</v>
      </c>
      <c r="D52" s="135" t="s">
        <v>101</v>
      </c>
      <c r="E52" s="135" t="s">
        <v>102</v>
      </c>
      <c r="F52" s="135" t="s">
        <v>103</v>
      </c>
      <c r="G52" s="135" t="s">
        <v>104</v>
      </c>
      <c r="H52" s="171" t="s">
        <v>105</v>
      </c>
      <c r="I52" s="135" t="s">
        <v>106</v>
      </c>
      <c r="J52" s="135" t="s">
        <v>1</v>
      </c>
      <c r="K52" s="172" t="s">
        <v>114</v>
      </c>
      <c r="L52" s="139" t="s">
        <v>108</v>
      </c>
      <c r="M52" s="173" t="s">
        <v>115</v>
      </c>
      <c r="O52" s="120" t="s">
        <v>116</v>
      </c>
      <c r="R52" s="82" t="s">
        <v>117</v>
      </c>
      <c r="S52" s="82" t="s">
        <v>118</v>
      </c>
      <c r="T52" s="82" t="s">
        <v>119</v>
      </c>
    </row>
    <row r="53" spans="1:20">
      <c r="A53" s="122"/>
      <c r="B53" s="174"/>
      <c r="C53" s="175"/>
      <c r="D53" s="175"/>
      <c r="E53" s="175"/>
      <c r="F53" s="176"/>
      <c r="G53" s="176"/>
      <c r="H53" s="177"/>
      <c r="I53" s="175"/>
      <c r="J53" s="176"/>
      <c r="K53" s="178"/>
      <c r="L53" s="179"/>
      <c r="M53" s="180"/>
      <c r="O53" s="120"/>
    </row>
    <row r="54" spans="1:20">
      <c r="A54" s="122"/>
      <c r="B54" s="181" t="s">
        <v>120</v>
      </c>
      <c r="C54" s="161">
        <f>+'EJEMPLO 01 EN MM'!C13</f>
        <v>2550</v>
      </c>
      <c r="D54" s="182"/>
      <c r="E54" s="182"/>
      <c r="F54" s="7"/>
      <c r="G54" s="7"/>
      <c r="H54" s="183"/>
      <c r="I54" s="7"/>
      <c r="J54" s="7"/>
      <c r="K54" s="7">
        <f>IF(C54=0,"",C54)</f>
        <v>2550</v>
      </c>
      <c r="L54" s="199">
        <f>IF(OR(C54=0,K54=0),"",+K54-C54)</f>
        <v>0</v>
      </c>
      <c r="M54" s="184">
        <f>+K54</f>
        <v>2550</v>
      </c>
      <c r="N54" s="185" t="str">
        <f>+B54</f>
        <v>Resev</v>
      </c>
      <c r="O54" s="186">
        <v>0.28999999999999998</v>
      </c>
      <c r="P54" s="186" t="s">
        <v>121</v>
      </c>
      <c r="Q54" s="186"/>
    </row>
    <row r="55" spans="1:20">
      <c r="A55" s="122"/>
      <c r="B55" s="187" t="s">
        <v>31</v>
      </c>
      <c r="C55" s="161">
        <f>+'EJEMPLO 01 EN MM'!C14</f>
        <v>2527</v>
      </c>
      <c r="D55" s="182">
        <v>0.14000000000000001</v>
      </c>
      <c r="E55" s="182">
        <f>+'EJEMPLO 01 EN MM'!G13</f>
        <v>1.7109999999999999</v>
      </c>
      <c r="F55" s="7">
        <f>IF(OR(OR(M54=0,C55=0),D55=0),"",((M54-C55)/D55))</f>
        <v>164.28571428571428</v>
      </c>
      <c r="G55" s="7">
        <f>IF(OR(E55=0,F55=0),"",(E55/(0.0597*(F55^0.54)))^(1/2.63))</f>
        <v>1.2565598783368679</v>
      </c>
      <c r="H55" s="183">
        <v>1.5</v>
      </c>
      <c r="I55" s="7">
        <f>IF(OR(E55=0,H55=0),"",(E55/(3141.6*0.25*(H55*0.0254)^2)))</f>
        <v>1.5007527963730349</v>
      </c>
      <c r="J55" s="7">
        <f>IF(OR(OR(E55=0,D55=0),H55=0),"",(1.72*10^6*D55*(E55^1.85)/((150^1.85)*(H55^4.87))))</f>
        <v>8.508161781988381</v>
      </c>
      <c r="K55" s="7">
        <f>IF(OR(M54=0,J55=0),"",M54-J55)</f>
        <v>2541.4918382180117</v>
      </c>
      <c r="L55" s="199">
        <f>IF(OR(C55=0,K55=0),"",+K55-C55)</f>
        <v>14.491838218011708</v>
      </c>
      <c r="M55" s="184">
        <f>+M54-J55</f>
        <v>2541.4918382180117</v>
      </c>
      <c r="N55" s="188" t="str">
        <f t="shared" ref="N55:N80" si="7">IF(B55=0,"",B55)</f>
        <v/>
      </c>
      <c r="O55" s="189"/>
      <c r="P55" s="190" t="str">
        <f>IF(O55=0,"",I$28*O55/#REF!)</f>
        <v/>
      </c>
      <c r="Q55" s="186"/>
      <c r="R55" s="82">
        <f>IF(H55=1.5,D55,0)</f>
        <v>0.14000000000000001</v>
      </c>
      <c r="S55" s="82">
        <f>IF(H55=1,D55,0)</f>
        <v>0</v>
      </c>
      <c r="T55" s="82">
        <f>IF(H55=0.75,D55,0)</f>
        <v>0</v>
      </c>
    </row>
    <row r="56" spans="1:20">
      <c r="A56" s="122"/>
      <c r="B56" s="187" t="s">
        <v>32</v>
      </c>
      <c r="C56" s="161">
        <f>+'EJEMPLO 01 EN MM'!C15</f>
        <v>2512</v>
      </c>
      <c r="D56" s="182">
        <v>7.4999999999999997E-2</v>
      </c>
      <c r="E56" s="182">
        <f>+'EJEMPLO 01 EN MM'!G14</f>
        <v>0.22200000000000003</v>
      </c>
      <c r="F56" s="7">
        <f>IF(OR(OR(M55=0,C56=0),D56=0),"",((M55-C56)/D56))</f>
        <v>393.22450957348946</v>
      </c>
      <c r="G56" s="7">
        <f t="shared" ref="G56:G66" si="8">IF(OR(E56=0,F56=0),"",(E56/(0.0597*(F56^0.54)))^(1/2.63))</f>
        <v>0.48320800241301765</v>
      </c>
      <c r="H56" s="183">
        <v>0.75</v>
      </c>
      <c r="I56" s="7">
        <f t="shared" ref="I56:I81" si="9">IF(OR(E56=0,H56=0),"",(E56/(3141.6*0.25*(H56*0.0254)^2)))</f>
        <v>0.77888280723509951</v>
      </c>
      <c r="J56" s="7">
        <f t="shared" ref="J56:J66" si="10">IF(OR(OR(E56=0,D56=0),H56=0),"",(1.72*10^6*D56*E56^1.85/150^1.85/H56^4.87))</f>
        <v>3.0480741728494554</v>
      </c>
      <c r="K56" s="7">
        <f t="shared" ref="K56:K66" si="11">IF(OR(M55=0,J56=0),"",M55-J56)</f>
        <v>2538.4437640451624</v>
      </c>
      <c r="L56" s="199">
        <f t="shared" ref="L56:L66" si="12">IF(OR(C56=0,K56=0),"",+K56-C56)</f>
        <v>26.443764045162425</v>
      </c>
      <c r="M56" s="184">
        <f t="shared" ref="M56:M66" si="13">+M55-J56</f>
        <v>2538.4437640451624</v>
      </c>
      <c r="N56" s="188" t="str">
        <f t="shared" si="7"/>
        <v/>
      </c>
      <c r="O56" s="189"/>
      <c r="P56" s="190" t="str">
        <f>IF(O56=0,"",I$28*O56/#REF!)</f>
        <v/>
      </c>
      <c r="Q56" s="186"/>
      <c r="R56" s="82">
        <f t="shared" ref="R56:R66" si="14">IF(H56=1.5,D56,0)</f>
        <v>0</v>
      </c>
      <c r="S56" s="82">
        <f t="shared" ref="S56:S66" si="15">IF(H56=1,D56,0)</f>
        <v>0</v>
      </c>
      <c r="T56" s="82">
        <f t="shared" ref="T56:T66" si="16">IF(H56=0.75,D56,0)</f>
        <v>7.4999999999999997E-2</v>
      </c>
    </row>
    <row r="57" spans="1:20">
      <c r="A57" s="122"/>
      <c r="B57" s="187" t="s">
        <v>125</v>
      </c>
      <c r="C57" s="161">
        <f>+'EJEMPLO 01 EN MM'!C16</f>
        <v>2500</v>
      </c>
      <c r="D57" s="182">
        <v>0.05</v>
      </c>
      <c r="E57" s="182">
        <f>+'EJEMPLO 01 EN MM'!G15</f>
        <v>8.2000000000000003E-2</v>
      </c>
      <c r="F57" s="7">
        <f>IF(OR(OR(M56=0,C57=0),D57=0),"",((M56-C57)/D57))</f>
        <v>768.87528090324849</v>
      </c>
      <c r="G57" s="7">
        <f t="shared" si="8"/>
        <v>0.28832168941911296</v>
      </c>
      <c r="H57" s="183">
        <v>0.75</v>
      </c>
      <c r="I57" s="7">
        <f t="shared" si="9"/>
        <v>0.28769545132107277</v>
      </c>
      <c r="J57" s="7">
        <f t="shared" si="10"/>
        <v>0.32191179978171003</v>
      </c>
      <c r="K57" s="7">
        <f t="shared" si="11"/>
        <v>2538.1218522453805</v>
      </c>
      <c r="L57" s="199">
        <f t="shared" si="12"/>
        <v>38.121852245380524</v>
      </c>
      <c r="M57" s="184">
        <f>+C57</f>
        <v>2500</v>
      </c>
      <c r="N57" s="188" t="str">
        <f t="shared" si="7"/>
        <v/>
      </c>
      <c r="O57" s="189"/>
      <c r="P57" s="190" t="str">
        <f>IF(O57=0,"",I$28*O57/#REF!)</f>
        <v/>
      </c>
      <c r="Q57" s="186"/>
      <c r="R57" s="82">
        <f t="shared" si="14"/>
        <v>0</v>
      </c>
      <c r="S57" s="82">
        <f t="shared" si="15"/>
        <v>0</v>
      </c>
      <c r="T57" s="82">
        <f t="shared" si="16"/>
        <v>0.05</v>
      </c>
    </row>
    <row r="58" spans="1:20" ht="15.75" customHeight="1">
      <c r="A58" s="122"/>
      <c r="B58" s="187" t="s">
        <v>36</v>
      </c>
      <c r="C58" s="161">
        <f>+'EJEMPLO 01 EN MM'!D16</f>
        <v>2487</v>
      </c>
      <c r="D58" s="182">
        <v>0.05</v>
      </c>
      <c r="E58" s="182">
        <f>+'EJEMPLO 01 EN MM'!G16</f>
        <v>3.5000000000000003E-2</v>
      </c>
      <c r="F58" s="7">
        <f>IF(OR(OR(M57=0,C58=0),D58=0),"",((M57-C58)/D58))</f>
        <v>260</v>
      </c>
      <c r="G58" s="7">
        <f t="shared" si="8"/>
        <v>0.26059895125346161</v>
      </c>
      <c r="H58" s="183">
        <v>0.75</v>
      </c>
      <c r="I58" s="7">
        <f t="shared" si="9"/>
        <v>0.12279683897850667</v>
      </c>
      <c r="J58" s="7">
        <f t="shared" si="10"/>
        <v>6.6635728696800955E-2</v>
      </c>
      <c r="K58" s="7">
        <f t="shared" si="11"/>
        <v>2499.9333642713032</v>
      </c>
      <c r="L58" s="199">
        <f t="shared" si="12"/>
        <v>12.933364271303162</v>
      </c>
      <c r="M58" s="184">
        <f>+M57-J58</f>
        <v>2499.9333642713032</v>
      </c>
      <c r="N58" s="188" t="str">
        <f t="shared" si="7"/>
        <v/>
      </c>
      <c r="O58" s="189"/>
      <c r="P58" s="190"/>
      <c r="Q58" s="186"/>
      <c r="R58" s="82">
        <f t="shared" si="14"/>
        <v>0</v>
      </c>
      <c r="S58" s="82">
        <f t="shared" si="15"/>
        <v>0</v>
      </c>
      <c r="T58" s="82">
        <f t="shared" si="16"/>
        <v>0.05</v>
      </c>
    </row>
    <row r="59" spans="1:20">
      <c r="A59" s="122"/>
      <c r="B59" s="187" t="s">
        <v>124</v>
      </c>
      <c r="C59" s="161">
        <f>+'EJEMPLO 01 EN MM'!D17</f>
        <v>2500</v>
      </c>
      <c r="D59" s="182">
        <v>0.05</v>
      </c>
      <c r="E59" s="182">
        <f>+'EJEMPLO 01 EN MM'!G17</f>
        <v>2.4E-2</v>
      </c>
      <c r="F59" s="7">
        <f>IF(OR(OR(M56=0,C59=0),D59=0),"",((M56-C59)/D59))</f>
        <v>768.87528090324849</v>
      </c>
      <c r="G59" s="7">
        <f t="shared" si="8"/>
        <v>0.18071183154039547</v>
      </c>
      <c r="H59" s="183">
        <v>0.75</v>
      </c>
      <c r="I59" s="7">
        <f t="shared" si="9"/>
        <v>8.4203546728118861E-2</v>
      </c>
      <c r="J59" s="7">
        <f t="shared" si="10"/>
        <v>3.315675852768421E-2</v>
      </c>
      <c r="K59" s="7">
        <f>IF(OR(M56=0,J59=0),"",M56-J59)</f>
        <v>2538.4106072866348</v>
      </c>
      <c r="L59" s="199">
        <f t="shared" si="12"/>
        <v>38.410607286634786</v>
      </c>
      <c r="M59" s="184">
        <f>+C59</f>
        <v>2500</v>
      </c>
      <c r="N59" s="188" t="str">
        <f t="shared" si="7"/>
        <v/>
      </c>
      <c r="O59" s="189"/>
      <c r="P59" s="190"/>
      <c r="Q59" s="186"/>
      <c r="R59" s="82">
        <f t="shared" si="14"/>
        <v>0</v>
      </c>
      <c r="S59" s="82">
        <f t="shared" si="15"/>
        <v>0</v>
      </c>
      <c r="T59" s="82">
        <f t="shared" si="16"/>
        <v>0.05</v>
      </c>
    </row>
    <row r="60" spans="1:20">
      <c r="A60" s="122"/>
      <c r="B60" s="187" t="s">
        <v>33</v>
      </c>
      <c r="C60" s="161">
        <f>+'EJEMPLO 01 EN MM'!D18</f>
        <v>2492</v>
      </c>
      <c r="D60" s="182">
        <v>0.03</v>
      </c>
      <c r="E60" s="182">
        <f>+'EJEMPLO 01 EN MM'!G18</f>
        <v>1.2E-2</v>
      </c>
      <c r="F60" s="7">
        <f t="shared" ref="F60" si="17">IF(OR(OR(M59=0,C60=0),D60=0),"",((M59-C60)/D60))</f>
        <v>266.66666666666669</v>
      </c>
      <c r="G60" s="7">
        <f t="shared" si="8"/>
        <v>0.17256472155419433</v>
      </c>
      <c r="H60" s="183">
        <v>0.75</v>
      </c>
      <c r="I60" s="7">
        <f t="shared" si="9"/>
        <v>4.210177336405943E-2</v>
      </c>
      <c r="J60" s="7">
        <f t="shared" si="10"/>
        <v>5.5184590582565401E-3</v>
      </c>
      <c r="K60" s="7">
        <f t="shared" si="11"/>
        <v>2499.9944815409417</v>
      </c>
      <c r="L60" s="199">
        <f t="shared" si="12"/>
        <v>7.994481540941706</v>
      </c>
      <c r="M60" s="184">
        <f t="shared" si="13"/>
        <v>2499.9944815409417</v>
      </c>
      <c r="N60" s="191" t="s">
        <v>122</v>
      </c>
      <c r="O60" s="189"/>
      <c r="P60" s="190"/>
      <c r="Q60" s="186"/>
      <c r="R60" s="82">
        <f t="shared" si="14"/>
        <v>0</v>
      </c>
      <c r="S60" s="82">
        <f t="shared" si="15"/>
        <v>0</v>
      </c>
      <c r="T60" s="82">
        <f t="shared" si="16"/>
        <v>0.03</v>
      </c>
    </row>
    <row r="61" spans="1:20" ht="15.75" customHeight="1">
      <c r="A61" s="122"/>
      <c r="B61" s="187" t="s">
        <v>41</v>
      </c>
      <c r="C61" s="161">
        <f>+'EJEMPLO 01 EN MM'!D19</f>
        <v>2500</v>
      </c>
      <c r="D61" s="182">
        <v>0.22</v>
      </c>
      <c r="E61" s="182">
        <f>+'EJEMPLO 01 EN MM'!G19</f>
        <v>1.4889999999999999</v>
      </c>
      <c r="F61" s="7">
        <f>IF(OR(OR(M55=0,C61=0),D61=0),"",((M55-C61)/D61))</f>
        <v>188.59926462732594</v>
      </c>
      <c r="G61" s="7">
        <f t="shared" si="8"/>
        <v>1.1585833653297837</v>
      </c>
      <c r="H61" s="183">
        <v>1.5</v>
      </c>
      <c r="I61" s="7">
        <f t="shared" si="9"/>
        <v>1.3060320945642601</v>
      </c>
      <c r="J61" s="7">
        <f t="shared" si="10"/>
        <v>10.33886959851959</v>
      </c>
      <c r="K61" s="7">
        <f>IF(OR(M55=0,J61=0),"",M55-J61)</f>
        <v>2531.1529686194922</v>
      </c>
      <c r="L61" s="199">
        <f t="shared" si="12"/>
        <v>31.152968619492185</v>
      </c>
      <c r="M61" s="184">
        <f>+M55-J61</f>
        <v>2531.1529686194922</v>
      </c>
      <c r="N61" s="188" t="str">
        <f t="shared" si="7"/>
        <v/>
      </c>
      <c r="O61" s="189"/>
      <c r="P61" s="190"/>
      <c r="Q61" s="186"/>
      <c r="R61" s="82">
        <f t="shared" si="14"/>
        <v>0.22</v>
      </c>
      <c r="S61" s="82">
        <f t="shared" si="15"/>
        <v>0</v>
      </c>
      <c r="T61" s="82">
        <f t="shared" si="16"/>
        <v>0</v>
      </c>
    </row>
    <row r="62" spans="1:20" ht="15.75" customHeight="1">
      <c r="A62" s="122"/>
      <c r="B62" s="187" t="s">
        <v>126</v>
      </c>
      <c r="C62" s="161">
        <f>+'EJEMPLO 01 EN MM'!C22</f>
        <v>2500</v>
      </c>
      <c r="D62" s="182">
        <v>1E-3</v>
      </c>
      <c r="E62" s="182">
        <f>+'EJEMPLO 01 EN MM'!G21</f>
        <v>0.78</v>
      </c>
      <c r="F62" s="7">
        <f>IF(OR(OR(M61=0,C62=0),D62=0),"",((M61-C62)/D62))</f>
        <v>31152.968619492185</v>
      </c>
      <c r="G62" s="7">
        <f t="shared" ref="G62" si="18">IF(OR(E62=0,F62=0),"",(E62/(0.0597*(F62^0.54)))^(1/2.63))</f>
        <v>0.31751238850546093</v>
      </c>
      <c r="H62" s="183">
        <v>1.5</v>
      </c>
      <c r="I62" s="7">
        <f t="shared" ref="I62" si="19">IF(OR(E62=0,H62=0),"",(E62/(3141.6*0.25*(H62*0.0254)^2)))</f>
        <v>0.68415381716596568</v>
      </c>
      <c r="J62" s="7">
        <f t="shared" ref="J62" si="20">IF(OR(OR(E62=0,D62=0),H62=0),"",(1.72*10^6*D62*E62^1.85/150^1.85/H62^4.87))</f>
        <v>1.4209218775762306E-2</v>
      </c>
      <c r="K62" s="7">
        <f t="shared" ref="K62" si="21">IF(OR(M61=0,J62=0),"",M61-J62)</f>
        <v>2531.1387594007165</v>
      </c>
      <c r="L62" s="199">
        <f t="shared" ref="L62" si="22">IF(OR(C62=0,K62=0),"",+K62-C62)</f>
        <v>31.138759400716481</v>
      </c>
      <c r="M62" s="184">
        <f>+C62</f>
        <v>2500</v>
      </c>
      <c r="N62" s="188" t="str">
        <f t="shared" si="7"/>
        <v/>
      </c>
      <c r="O62" s="189"/>
      <c r="P62" s="190"/>
      <c r="Q62" s="186"/>
    </row>
    <row r="63" spans="1:20">
      <c r="A63" s="122"/>
      <c r="B63" s="187" t="s">
        <v>38</v>
      </c>
      <c r="C63" s="161">
        <f>+'EJEMPLO 01 EN MM'!D20</f>
        <v>2497</v>
      </c>
      <c r="D63" s="182">
        <v>0.13</v>
      </c>
      <c r="E63" s="182">
        <f>+'EJEMPLO 01 EN MM'!G20</f>
        <v>0.186</v>
      </c>
      <c r="F63" s="7">
        <f>IF(OR(OR(M61=0,C63=0),D63=0),"",((M61-C63)/D63))</f>
        <v>262.71514322686295</v>
      </c>
      <c r="G63" s="7">
        <f t="shared" si="8"/>
        <v>0.4907732211329886</v>
      </c>
      <c r="H63" s="183">
        <v>1</v>
      </c>
      <c r="I63" s="7">
        <f t="shared" si="9"/>
        <v>0.36707483651789313</v>
      </c>
      <c r="J63" s="7">
        <f t="shared" si="10"/>
        <v>0.93821401636729385</v>
      </c>
      <c r="K63" s="7">
        <f>IF(OR(M61=0,J63=0),"",M61-J63)</f>
        <v>2530.2147546031247</v>
      </c>
      <c r="L63" s="199">
        <f t="shared" si="12"/>
        <v>33.214754603124675</v>
      </c>
      <c r="M63" s="184">
        <f>+M61-J63</f>
        <v>2530.2147546031247</v>
      </c>
      <c r="N63" s="188" t="str">
        <f t="shared" si="7"/>
        <v/>
      </c>
      <c r="O63" s="189"/>
      <c r="P63" s="190" t="str">
        <f>IF(O63=0,"",I$28*O63/#REF!)</f>
        <v/>
      </c>
      <c r="R63" s="82">
        <f t="shared" si="14"/>
        <v>0</v>
      </c>
      <c r="S63" s="82">
        <f t="shared" si="15"/>
        <v>0.13</v>
      </c>
      <c r="T63" s="82">
        <f t="shared" si="16"/>
        <v>0</v>
      </c>
    </row>
    <row r="64" spans="1:20">
      <c r="A64" s="122"/>
      <c r="B64" s="187" t="s">
        <v>35</v>
      </c>
      <c r="C64" s="161">
        <f>+'EJEMPLO 01 EN MM'!C23</f>
        <v>2480</v>
      </c>
      <c r="D64" s="182">
        <v>0.09</v>
      </c>
      <c r="E64" s="182">
        <f>+'EJEMPLO 01 EN MM'!G22</f>
        <v>0.78</v>
      </c>
      <c r="F64" s="7">
        <f>IF(OR(OR(M62=0,C64=0),D64=0),"",((M62-C64)/D64))</f>
        <v>222.22222222222223</v>
      </c>
      <c r="G64" s="7">
        <f t="shared" si="8"/>
        <v>0.87605309701972978</v>
      </c>
      <c r="H64" s="183">
        <v>1</v>
      </c>
      <c r="I64" s="7">
        <f t="shared" si="9"/>
        <v>1.5393460886234227</v>
      </c>
      <c r="J64" s="7">
        <f t="shared" si="10"/>
        <v>9.2124923890226711</v>
      </c>
      <c r="K64" s="7">
        <f>IF(OR(M62=0,J64=0),"",M62-J64)</f>
        <v>2490.7875076109772</v>
      </c>
      <c r="L64" s="199">
        <f t="shared" si="12"/>
        <v>10.787507610977173</v>
      </c>
      <c r="M64" s="184">
        <f>+M62-J64</f>
        <v>2490.7875076109772</v>
      </c>
      <c r="N64" s="188" t="str">
        <f t="shared" si="7"/>
        <v/>
      </c>
      <c r="O64" s="189"/>
      <c r="P64" s="190" t="str">
        <f>IF(O64=0,"",I$28*O64/#REF!)</f>
        <v/>
      </c>
      <c r="R64" s="82">
        <f t="shared" si="14"/>
        <v>0</v>
      </c>
      <c r="S64" s="82">
        <f t="shared" si="15"/>
        <v>0.09</v>
      </c>
      <c r="T64" s="82">
        <f t="shared" si="16"/>
        <v>0</v>
      </c>
    </row>
    <row r="65" spans="1:20">
      <c r="A65" s="122"/>
      <c r="B65" s="187" t="s">
        <v>37</v>
      </c>
      <c r="C65" s="161">
        <f>+'EJEMPLO 01 EN MM'!D23</f>
        <v>2463</v>
      </c>
      <c r="D65" s="182">
        <v>0.04</v>
      </c>
      <c r="E65" s="182">
        <f>+'EJEMPLO 01 EN MM'!G23</f>
        <v>0.14000000000000001</v>
      </c>
      <c r="F65" s="7">
        <f>IF(OR(OR(M64=0,C65=0),D65=0),"",((M64-C65)/D65))</f>
        <v>694.68769027442931</v>
      </c>
      <c r="G65" s="7">
        <f t="shared" si="8"/>
        <v>0.36079252875262524</v>
      </c>
      <c r="H65" s="183">
        <v>0.75</v>
      </c>
      <c r="I65" s="7">
        <f t="shared" si="9"/>
        <v>0.49118735591402668</v>
      </c>
      <c r="J65" s="7">
        <f t="shared" si="10"/>
        <v>0.69280038805658328</v>
      </c>
      <c r="K65" s="7">
        <f t="shared" si="11"/>
        <v>2490.0947072229205</v>
      </c>
      <c r="L65" s="199">
        <f t="shared" si="12"/>
        <v>27.094707222920533</v>
      </c>
      <c r="M65" s="184">
        <f t="shared" si="13"/>
        <v>2490.0947072229205</v>
      </c>
      <c r="N65" s="188" t="str">
        <f t="shared" si="7"/>
        <v/>
      </c>
      <c r="O65" s="189"/>
      <c r="P65" s="190" t="str">
        <f>IF(O65=0,"",I$28*O65/#REF!)</f>
        <v/>
      </c>
      <c r="R65" s="82">
        <f t="shared" si="14"/>
        <v>0</v>
      </c>
      <c r="S65" s="82">
        <f t="shared" si="15"/>
        <v>0</v>
      </c>
      <c r="T65" s="82">
        <f t="shared" si="16"/>
        <v>0.04</v>
      </c>
    </row>
    <row r="66" spans="1:20">
      <c r="A66" s="122"/>
      <c r="B66" s="187" t="s">
        <v>34</v>
      </c>
      <c r="C66" s="161">
        <f>+'EJEMPLO 01 EN MM'!D24</f>
        <v>2467</v>
      </c>
      <c r="D66" s="182">
        <v>0.115</v>
      </c>
      <c r="E66" s="182">
        <f>+'EJEMPLO 01 EN MM'!G24</f>
        <v>0.29099999999999998</v>
      </c>
      <c r="F66" s="7">
        <f>IF(OR(OR(M64=0,C66=0),D66=0),"",((M64-C66)/D66))</f>
        <v>206.8478922693667</v>
      </c>
      <c r="G66" s="7">
        <f t="shared" si="8"/>
        <v>0.61109559021367843</v>
      </c>
      <c r="H66" s="183">
        <v>0.75</v>
      </c>
      <c r="I66" s="7">
        <f t="shared" si="9"/>
        <v>1.020968004078441</v>
      </c>
      <c r="J66" s="7">
        <f t="shared" si="10"/>
        <v>7.7110076665293237</v>
      </c>
      <c r="K66" s="7">
        <f t="shared" si="11"/>
        <v>2482.3836995563911</v>
      </c>
      <c r="L66" s="199">
        <f t="shared" si="12"/>
        <v>15.383699556391093</v>
      </c>
      <c r="M66" s="184">
        <f t="shared" si="13"/>
        <v>2482.3836995563911</v>
      </c>
      <c r="N66" s="188" t="str">
        <f t="shared" si="7"/>
        <v/>
      </c>
      <c r="O66" s="189"/>
      <c r="P66" s="190" t="str">
        <f>IF(O66=0,"",I$28*O66/#REF!)</f>
        <v/>
      </c>
      <c r="R66" s="82">
        <f t="shared" si="14"/>
        <v>0</v>
      </c>
      <c r="S66" s="82">
        <f t="shared" si="15"/>
        <v>0</v>
      </c>
      <c r="T66" s="82">
        <f t="shared" si="16"/>
        <v>0.115</v>
      </c>
    </row>
    <row r="67" spans="1:20" hidden="1">
      <c r="A67" s="192"/>
      <c r="B67" s="193"/>
      <c r="C67" s="157"/>
      <c r="D67" s="158"/>
      <c r="E67" s="158"/>
      <c r="F67" s="7" t="e">
        <f>IF(OR(OR(#REF!=0,C67=0),D67=0),"",((#REF!-C67)/D67))</f>
        <v>#REF!</v>
      </c>
      <c r="G67" s="7" t="e">
        <f t="shared" ref="G67:G93" si="23">IF(OR(E67=0,F67=0),"",(E67/(0.0597*(F67^0.54)))^(1/2.63))</f>
        <v>#REF!</v>
      </c>
      <c r="H67" s="160"/>
      <c r="I67" s="7" t="str">
        <f t="shared" si="9"/>
        <v/>
      </c>
      <c r="J67" s="7" t="str">
        <f t="shared" ref="J67:J103" si="24">IF(OR(OR(E67=0,D67=0),H67=0),"",(1.72*10^6*D67*E67^1.85/140^1.85/H67^4.87))</f>
        <v/>
      </c>
      <c r="K67" s="7" t="e">
        <f>IF(OR(#REF!=0,J67=0),"",#REF!-J67)</f>
        <v>#REF!</v>
      </c>
      <c r="L67" s="7" t="e">
        <f t="shared" ref="L67:L93" si="25">IF(OR(C67=0,K67=0),"",+K67-C67)</f>
        <v>#REF!</v>
      </c>
      <c r="M67" s="194"/>
      <c r="N67" s="188" t="str">
        <f t="shared" si="7"/>
        <v/>
      </c>
    </row>
    <row r="68" spans="1:20" hidden="1">
      <c r="A68" s="192"/>
      <c r="B68" s="193"/>
      <c r="C68" s="157"/>
      <c r="D68" s="158"/>
      <c r="E68" s="158"/>
      <c r="F68" s="7" t="str">
        <f t="shared" ref="F68:F95" si="26">IF(OR(OR(M67=0,C68=0),D68=0),"",((M67-C68)/D68))</f>
        <v/>
      </c>
      <c r="G68" s="7" t="str">
        <f t="shared" si="23"/>
        <v/>
      </c>
      <c r="H68" s="160"/>
      <c r="I68" s="7" t="str">
        <f t="shared" si="9"/>
        <v/>
      </c>
      <c r="J68" s="7" t="str">
        <f t="shared" si="24"/>
        <v/>
      </c>
      <c r="K68" s="7" t="str">
        <f t="shared" ref="K68:K95" si="27">IF(OR(M67=0,J68=0),"",M67-J68)</f>
        <v/>
      </c>
      <c r="L68" s="7" t="str">
        <f t="shared" si="25"/>
        <v/>
      </c>
      <c r="M68" s="194"/>
      <c r="N68" s="188" t="str">
        <f t="shared" si="7"/>
        <v/>
      </c>
    </row>
    <row r="69" spans="1:20" hidden="1">
      <c r="A69" s="192"/>
      <c r="B69" s="193"/>
      <c r="C69" s="157"/>
      <c r="D69" s="158"/>
      <c r="E69" s="158"/>
      <c r="F69" s="7" t="str">
        <f t="shared" si="26"/>
        <v/>
      </c>
      <c r="G69" s="7" t="str">
        <f t="shared" si="23"/>
        <v/>
      </c>
      <c r="H69" s="160"/>
      <c r="I69" s="7" t="str">
        <f t="shared" si="9"/>
        <v/>
      </c>
      <c r="J69" s="7" t="str">
        <f t="shared" si="24"/>
        <v/>
      </c>
      <c r="K69" s="7" t="str">
        <f t="shared" si="27"/>
        <v/>
      </c>
      <c r="L69" s="7" t="str">
        <f t="shared" si="25"/>
        <v/>
      </c>
      <c r="M69" s="194"/>
      <c r="N69" s="188" t="str">
        <f t="shared" si="7"/>
        <v/>
      </c>
    </row>
    <row r="70" spans="1:20" hidden="1">
      <c r="A70" s="192"/>
      <c r="B70" s="193"/>
      <c r="C70" s="157"/>
      <c r="D70" s="158"/>
      <c r="E70" s="158"/>
      <c r="F70" s="7" t="str">
        <f t="shared" si="26"/>
        <v/>
      </c>
      <c r="G70" s="7" t="str">
        <f t="shared" si="23"/>
        <v/>
      </c>
      <c r="H70" s="160"/>
      <c r="I70" s="7" t="str">
        <f t="shared" si="9"/>
        <v/>
      </c>
      <c r="J70" s="7" t="str">
        <f t="shared" si="24"/>
        <v/>
      </c>
      <c r="K70" s="7" t="str">
        <f t="shared" si="27"/>
        <v/>
      </c>
      <c r="L70" s="7" t="str">
        <f t="shared" si="25"/>
        <v/>
      </c>
      <c r="M70" s="194">
        <f t="shared" ref="M70:M93" si="28">+M69-J70</f>
        <v>0</v>
      </c>
      <c r="N70" s="188" t="str">
        <f t="shared" si="7"/>
        <v/>
      </c>
    </row>
    <row r="71" spans="1:20" hidden="1">
      <c r="A71" s="192"/>
      <c r="B71" s="193"/>
      <c r="C71" s="157"/>
      <c r="D71" s="158"/>
      <c r="E71" s="158"/>
      <c r="F71" s="7" t="str">
        <f t="shared" si="26"/>
        <v/>
      </c>
      <c r="G71" s="7" t="str">
        <f t="shared" si="23"/>
        <v/>
      </c>
      <c r="H71" s="160"/>
      <c r="I71" s="7" t="str">
        <f t="shared" si="9"/>
        <v/>
      </c>
      <c r="J71" s="7" t="str">
        <f t="shared" si="24"/>
        <v/>
      </c>
      <c r="K71" s="7" t="str">
        <f t="shared" si="27"/>
        <v/>
      </c>
      <c r="L71" s="7" t="str">
        <f t="shared" si="25"/>
        <v/>
      </c>
      <c r="M71" s="194">
        <f t="shared" si="28"/>
        <v>0</v>
      </c>
      <c r="N71" s="188" t="str">
        <f t="shared" si="7"/>
        <v/>
      </c>
    </row>
    <row r="72" spans="1:20" hidden="1">
      <c r="A72" s="192"/>
      <c r="B72" s="193"/>
      <c r="C72" s="157"/>
      <c r="D72" s="158"/>
      <c r="E72" s="158"/>
      <c r="F72" s="7" t="str">
        <f t="shared" si="26"/>
        <v/>
      </c>
      <c r="G72" s="7" t="str">
        <f t="shared" si="23"/>
        <v/>
      </c>
      <c r="H72" s="160"/>
      <c r="I72" s="7" t="str">
        <f t="shared" si="9"/>
        <v/>
      </c>
      <c r="J72" s="7" t="str">
        <f t="shared" si="24"/>
        <v/>
      </c>
      <c r="K72" s="7" t="str">
        <f t="shared" si="27"/>
        <v/>
      </c>
      <c r="L72" s="7" t="str">
        <f t="shared" si="25"/>
        <v/>
      </c>
      <c r="M72" s="194">
        <f t="shared" si="28"/>
        <v>0</v>
      </c>
      <c r="N72" s="188" t="str">
        <f t="shared" si="7"/>
        <v/>
      </c>
    </row>
    <row r="73" spans="1:20" hidden="1">
      <c r="A73" s="192"/>
      <c r="B73" s="193"/>
      <c r="C73" s="157"/>
      <c r="D73" s="158"/>
      <c r="E73" s="158"/>
      <c r="F73" s="7" t="str">
        <f t="shared" si="26"/>
        <v/>
      </c>
      <c r="G73" s="7" t="str">
        <f t="shared" si="23"/>
        <v/>
      </c>
      <c r="H73" s="160"/>
      <c r="I73" s="7" t="str">
        <f t="shared" si="9"/>
        <v/>
      </c>
      <c r="J73" s="7" t="str">
        <f t="shared" si="24"/>
        <v/>
      </c>
      <c r="K73" s="7" t="str">
        <f t="shared" si="27"/>
        <v/>
      </c>
      <c r="L73" s="7" t="str">
        <f t="shared" si="25"/>
        <v/>
      </c>
      <c r="M73" s="194">
        <f t="shared" si="28"/>
        <v>0</v>
      </c>
      <c r="N73" s="188" t="str">
        <f t="shared" si="7"/>
        <v/>
      </c>
    </row>
    <row r="74" spans="1:20" hidden="1">
      <c r="A74" s="192"/>
      <c r="B74" s="193"/>
      <c r="C74" s="157"/>
      <c r="D74" s="158"/>
      <c r="E74" s="158"/>
      <c r="F74" s="7" t="str">
        <f t="shared" si="26"/>
        <v/>
      </c>
      <c r="G74" s="7" t="str">
        <f t="shared" si="23"/>
        <v/>
      </c>
      <c r="H74" s="160"/>
      <c r="I74" s="7" t="str">
        <f t="shared" si="9"/>
        <v/>
      </c>
      <c r="J74" s="7" t="str">
        <f t="shared" si="24"/>
        <v/>
      </c>
      <c r="K74" s="7" t="str">
        <f t="shared" si="27"/>
        <v/>
      </c>
      <c r="L74" s="7" t="str">
        <f t="shared" si="25"/>
        <v/>
      </c>
      <c r="M74" s="194">
        <f t="shared" si="28"/>
        <v>0</v>
      </c>
      <c r="N74" s="188" t="str">
        <f t="shared" si="7"/>
        <v/>
      </c>
    </row>
    <row r="75" spans="1:20" hidden="1">
      <c r="A75" s="192"/>
      <c r="B75" s="193"/>
      <c r="C75" s="157"/>
      <c r="D75" s="158"/>
      <c r="E75" s="158"/>
      <c r="F75" s="7" t="str">
        <f t="shared" si="26"/>
        <v/>
      </c>
      <c r="G75" s="7" t="str">
        <f t="shared" si="23"/>
        <v/>
      </c>
      <c r="H75" s="160"/>
      <c r="I75" s="7" t="str">
        <f t="shared" si="9"/>
        <v/>
      </c>
      <c r="J75" s="7" t="str">
        <f t="shared" si="24"/>
        <v/>
      </c>
      <c r="K75" s="7" t="str">
        <f t="shared" si="27"/>
        <v/>
      </c>
      <c r="L75" s="7" t="str">
        <f t="shared" si="25"/>
        <v/>
      </c>
      <c r="M75" s="194">
        <f t="shared" si="28"/>
        <v>0</v>
      </c>
      <c r="N75" s="188" t="str">
        <f t="shared" si="7"/>
        <v/>
      </c>
    </row>
    <row r="76" spans="1:20" hidden="1">
      <c r="A76" s="192"/>
      <c r="B76" s="193"/>
      <c r="C76" s="157"/>
      <c r="D76" s="158"/>
      <c r="E76" s="158"/>
      <c r="F76" s="7" t="str">
        <f t="shared" si="26"/>
        <v/>
      </c>
      <c r="G76" s="7" t="str">
        <f t="shared" si="23"/>
        <v/>
      </c>
      <c r="H76" s="160"/>
      <c r="I76" s="7" t="str">
        <f t="shared" si="9"/>
        <v/>
      </c>
      <c r="J76" s="7" t="str">
        <f t="shared" si="24"/>
        <v/>
      </c>
      <c r="K76" s="7" t="str">
        <f t="shared" si="27"/>
        <v/>
      </c>
      <c r="L76" s="7" t="str">
        <f t="shared" si="25"/>
        <v/>
      </c>
      <c r="M76" s="194">
        <f t="shared" si="28"/>
        <v>0</v>
      </c>
      <c r="N76" s="188" t="str">
        <f t="shared" si="7"/>
        <v/>
      </c>
    </row>
    <row r="77" spans="1:20" hidden="1">
      <c r="A77" s="192"/>
      <c r="B77" s="193"/>
      <c r="C77" s="157"/>
      <c r="D77" s="158"/>
      <c r="E77" s="158"/>
      <c r="F77" s="7" t="str">
        <f t="shared" si="26"/>
        <v/>
      </c>
      <c r="G77" s="7" t="str">
        <f t="shared" si="23"/>
        <v/>
      </c>
      <c r="H77" s="160"/>
      <c r="I77" s="7" t="str">
        <f t="shared" si="9"/>
        <v/>
      </c>
      <c r="J77" s="7" t="str">
        <f t="shared" si="24"/>
        <v/>
      </c>
      <c r="K77" s="7" t="str">
        <f t="shared" si="27"/>
        <v/>
      </c>
      <c r="L77" s="7" t="str">
        <f t="shared" si="25"/>
        <v/>
      </c>
      <c r="M77" s="194">
        <f t="shared" si="28"/>
        <v>0</v>
      </c>
      <c r="N77" s="188" t="str">
        <f t="shared" si="7"/>
        <v/>
      </c>
    </row>
    <row r="78" spans="1:20" hidden="1">
      <c r="A78" s="192"/>
      <c r="B78" s="193"/>
      <c r="C78" s="157"/>
      <c r="D78" s="158"/>
      <c r="E78" s="158"/>
      <c r="F78" s="7" t="str">
        <f t="shared" si="26"/>
        <v/>
      </c>
      <c r="G78" s="7" t="str">
        <f t="shared" si="23"/>
        <v/>
      </c>
      <c r="H78" s="160"/>
      <c r="I78" s="7" t="str">
        <f t="shared" si="9"/>
        <v/>
      </c>
      <c r="J78" s="7" t="str">
        <f t="shared" si="24"/>
        <v/>
      </c>
      <c r="K78" s="7" t="str">
        <f t="shared" si="27"/>
        <v/>
      </c>
      <c r="L78" s="7" t="str">
        <f t="shared" si="25"/>
        <v/>
      </c>
      <c r="M78" s="194">
        <f t="shared" si="28"/>
        <v>0</v>
      </c>
      <c r="N78" s="188" t="str">
        <f t="shared" si="7"/>
        <v/>
      </c>
    </row>
    <row r="79" spans="1:20" hidden="1">
      <c r="A79" s="192"/>
      <c r="B79" s="193"/>
      <c r="C79" s="157"/>
      <c r="D79" s="158"/>
      <c r="E79" s="158"/>
      <c r="F79" s="7" t="str">
        <f t="shared" si="26"/>
        <v/>
      </c>
      <c r="G79" s="7" t="str">
        <f t="shared" si="23"/>
        <v/>
      </c>
      <c r="H79" s="160"/>
      <c r="I79" s="7" t="str">
        <f t="shared" si="9"/>
        <v/>
      </c>
      <c r="J79" s="7" t="str">
        <f t="shared" si="24"/>
        <v/>
      </c>
      <c r="K79" s="7" t="str">
        <f t="shared" si="27"/>
        <v/>
      </c>
      <c r="L79" s="7" t="str">
        <f t="shared" si="25"/>
        <v/>
      </c>
      <c r="M79" s="194">
        <f t="shared" si="28"/>
        <v>0</v>
      </c>
      <c r="N79" s="188" t="str">
        <f t="shared" si="7"/>
        <v/>
      </c>
    </row>
    <row r="80" spans="1:20" hidden="1">
      <c r="A80" s="192"/>
      <c r="B80" s="193"/>
      <c r="C80" s="157"/>
      <c r="D80" s="158"/>
      <c r="E80" s="158"/>
      <c r="F80" s="7" t="str">
        <f t="shared" si="26"/>
        <v/>
      </c>
      <c r="G80" s="7" t="str">
        <f t="shared" si="23"/>
        <v/>
      </c>
      <c r="H80" s="160"/>
      <c r="I80" s="7" t="str">
        <f t="shared" si="9"/>
        <v/>
      </c>
      <c r="J80" s="7" t="str">
        <f t="shared" si="24"/>
        <v/>
      </c>
      <c r="K80" s="7" t="str">
        <f t="shared" si="27"/>
        <v/>
      </c>
      <c r="L80" s="7" t="str">
        <f t="shared" si="25"/>
        <v/>
      </c>
      <c r="M80" s="194">
        <f t="shared" si="28"/>
        <v>0</v>
      </c>
      <c r="N80" s="188" t="str">
        <f t="shared" si="7"/>
        <v/>
      </c>
    </row>
    <row r="81" spans="1:14" hidden="1">
      <c r="A81" s="192"/>
      <c r="B81" s="193"/>
      <c r="C81" s="157"/>
      <c r="D81" s="158"/>
      <c r="E81" s="158"/>
      <c r="F81" s="7" t="str">
        <f t="shared" si="26"/>
        <v/>
      </c>
      <c r="G81" s="7" t="str">
        <f t="shared" si="23"/>
        <v/>
      </c>
      <c r="H81" s="160"/>
      <c r="I81" s="7" t="str">
        <f t="shared" si="9"/>
        <v/>
      </c>
      <c r="J81" s="7" t="str">
        <f t="shared" si="24"/>
        <v/>
      </c>
      <c r="K81" s="7" t="str">
        <f t="shared" si="27"/>
        <v/>
      </c>
      <c r="L81" s="7" t="str">
        <f t="shared" si="25"/>
        <v/>
      </c>
      <c r="M81" s="194">
        <f t="shared" si="28"/>
        <v>0</v>
      </c>
      <c r="N81" s="188" t="str">
        <f t="shared" ref="N81:N111" si="29">IF(B81=0,"",B81)</f>
        <v/>
      </c>
    </row>
    <row r="82" spans="1:14" hidden="1">
      <c r="A82" s="192"/>
      <c r="B82" s="193"/>
      <c r="C82" s="157"/>
      <c r="D82" s="158"/>
      <c r="E82" s="158"/>
      <c r="F82" s="7" t="str">
        <f t="shared" si="26"/>
        <v/>
      </c>
      <c r="G82" s="7" t="str">
        <f t="shared" si="23"/>
        <v/>
      </c>
      <c r="H82" s="160"/>
      <c r="I82" s="7" t="str">
        <f t="shared" ref="I82:I103" si="30">IF(OR(E82=0,H82=0),"",(E82/(3141.6*0.25*(H82*0.0254)^2)))</f>
        <v/>
      </c>
      <c r="J82" s="7" t="str">
        <f t="shared" si="24"/>
        <v/>
      </c>
      <c r="K82" s="7" t="str">
        <f t="shared" si="27"/>
        <v/>
      </c>
      <c r="L82" s="7" t="str">
        <f t="shared" si="25"/>
        <v/>
      </c>
      <c r="M82" s="194">
        <f t="shared" si="28"/>
        <v>0</v>
      </c>
      <c r="N82" s="188" t="str">
        <f t="shared" si="29"/>
        <v/>
      </c>
    </row>
    <row r="83" spans="1:14" hidden="1">
      <c r="A83" s="192"/>
      <c r="B83" s="193"/>
      <c r="C83" s="157"/>
      <c r="D83" s="158"/>
      <c r="E83" s="158"/>
      <c r="F83" s="7" t="str">
        <f t="shared" si="26"/>
        <v/>
      </c>
      <c r="G83" s="7" t="str">
        <f t="shared" si="23"/>
        <v/>
      </c>
      <c r="H83" s="160"/>
      <c r="I83" s="7" t="str">
        <f t="shared" si="30"/>
        <v/>
      </c>
      <c r="J83" s="7" t="str">
        <f t="shared" si="24"/>
        <v/>
      </c>
      <c r="K83" s="7" t="str">
        <f t="shared" si="27"/>
        <v/>
      </c>
      <c r="L83" s="7" t="str">
        <f t="shared" si="25"/>
        <v/>
      </c>
      <c r="M83" s="194">
        <f t="shared" si="28"/>
        <v>0</v>
      </c>
      <c r="N83" s="188" t="str">
        <f t="shared" si="29"/>
        <v/>
      </c>
    </row>
    <row r="84" spans="1:14" hidden="1">
      <c r="A84" s="192"/>
      <c r="B84" s="193"/>
      <c r="C84" s="157"/>
      <c r="D84" s="158"/>
      <c r="E84" s="158"/>
      <c r="F84" s="7" t="str">
        <f t="shared" si="26"/>
        <v/>
      </c>
      <c r="G84" s="7" t="str">
        <f t="shared" si="23"/>
        <v/>
      </c>
      <c r="H84" s="160"/>
      <c r="I84" s="7" t="str">
        <f t="shared" si="30"/>
        <v/>
      </c>
      <c r="J84" s="7" t="str">
        <f t="shared" si="24"/>
        <v/>
      </c>
      <c r="K84" s="7" t="str">
        <f t="shared" si="27"/>
        <v/>
      </c>
      <c r="L84" s="7" t="str">
        <f t="shared" si="25"/>
        <v/>
      </c>
      <c r="M84" s="194">
        <f t="shared" si="28"/>
        <v>0</v>
      </c>
      <c r="N84" s="188" t="str">
        <f t="shared" si="29"/>
        <v/>
      </c>
    </row>
    <row r="85" spans="1:14" hidden="1">
      <c r="A85" s="192"/>
      <c r="B85" s="193"/>
      <c r="C85" s="157"/>
      <c r="D85" s="158"/>
      <c r="E85" s="158"/>
      <c r="F85" s="7" t="str">
        <f t="shared" si="26"/>
        <v/>
      </c>
      <c r="G85" s="7" t="str">
        <f t="shared" si="23"/>
        <v/>
      </c>
      <c r="H85" s="160"/>
      <c r="I85" s="7" t="str">
        <f t="shared" si="30"/>
        <v/>
      </c>
      <c r="J85" s="7" t="str">
        <f t="shared" si="24"/>
        <v/>
      </c>
      <c r="K85" s="7" t="str">
        <f t="shared" si="27"/>
        <v/>
      </c>
      <c r="L85" s="7" t="str">
        <f t="shared" si="25"/>
        <v/>
      </c>
      <c r="M85" s="194">
        <f t="shared" si="28"/>
        <v>0</v>
      </c>
      <c r="N85" s="188" t="str">
        <f t="shared" si="29"/>
        <v/>
      </c>
    </row>
    <row r="86" spans="1:14" hidden="1">
      <c r="A86" s="192"/>
      <c r="B86" s="193"/>
      <c r="C86" s="157"/>
      <c r="D86" s="158"/>
      <c r="E86" s="158"/>
      <c r="F86" s="7" t="str">
        <f t="shared" si="26"/>
        <v/>
      </c>
      <c r="G86" s="7" t="str">
        <f t="shared" si="23"/>
        <v/>
      </c>
      <c r="H86" s="160"/>
      <c r="I86" s="7" t="str">
        <f t="shared" si="30"/>
        <v/>
      </c>
      <c r="J86" s="7" t="str">
        <f t="shared" si="24"/>
        <v/>
      </c>
      <c r="K86" s="7" t="str">
        <f t="shared" si="27"/>
        <v/>
      </c>
      <c r="L86" s="7" t="str">
        <f t="shared" si="25"/>
        <v/>
      </c>
      <c r="M86" s="194">
        <f t="shared" si="28"/>
        <v>0</v>
      </c>
      <c r="N86" s="188" t="str">
        <f t="shared" si="29"/>
        <v/>
      </c>
    </row>
    <row r="87" spans="1:14" hidden="1">
      <c r="A87" s="192"/>
      <c r="B87" s="193"/>
      <c r="C87" s="157"/>
      <c r="D87" s="158"/>
      <c r="E87" s="158"/>
      <c r="F87" s="7" t="str">
        <f t="shared" si="26"/>
        <v/>
      </c>
      <c r="G87" s="7" t="str">
        <f t="shared" si="23"/>
        <v/>
      </c>
      <c r="H87" s="160"/>
      <c r="I87" s="7" t="str">
        <f t="shared" si="30"/>
        <v/>
      </c>
      <c r="J87" s="7" t="str">
        <f t="shared" si="24"/>
        <v/>
      </c>
      <c r="K87" s="7" t="str">
        <f t="shared" si="27"/>
        <v/>
      </c>
      <c r="L87" s="7" t="str">
        <f t="shared" si="25"/>
        <v/>
      </c>
      <c r="M87" s="194">
        <f t="shared" si="28"/>
        <v>0</v>
      </c>
      <c r="N87" s="188" t="str">
        <f t="shared" si="29"/>
        <v/>
      </c>
    </row>
    <row r="88" spans="1:14" hidden="1">
      <c r="A88" s="192"/>
      <c r="B88" s="193"/>
      <c r="C88" s="157"/>
      <c r="D88" s="158"/>
      <c r="E88" s="158"/>
      <c r="F88" s="7" t="str">
        <f t="shared" si="26"/>
        <v/>
      </c>
      <c r="G88" s="7" t="str">
        <f t="shared" si="23"/>
        <v/>
      </c>
      <c r="H88" s="160"/>
      <c r="I88" s="7" t="str">
        <f t="shared" si="30"/>
        <v/>
      </c>
      <c r="J88" s="7" t="str">
        <f t="shared" si="24"/>
        <v/>
      </c>
      <c r="K88" s="7" t="str">
        <f t="shared" si="27"/>
        <v/>
      </c>
      <c r="L88" s="7" t="str">
        <f t="shared" si="25"/>
        <v/>
      </c>
      <c r="M88" s="194">
        <f t="shared" si="28"/>
        <v>0</v>
      </c>
      <c r="N88" s="188" t="str">
        <f t="shared" si="29"/>
        <v/>
      </c>
    </row>
    <row r="89" spans="1:14" hidden="1">
      <c r="A89" s="192"/>
      <c r="B89" s="193"/>
      <c r="C89" s="157"/>
      <c r="D89" s="158"/>
      <c r="E89" s="158"/>
      <c r="F89" s="7" t="str">
        <f t="shared" si="26"/>
        <v/>
      </c>
      <c r="G89" s="7" t="str">
        <f t="shared" si="23"/>
        <v/>
      </c>
      <c r="H89" s="160"/>
      <c r="I89" s="7" t="str">
        <f t="shared" si="30"/>
        <v/>
      </c>
      <c r="J89" s="7" t="str">
        <f t="shared" si="24"/>
        <v/>
      </c>
      <c r="K89" s="7" t="str">
        <f t="shared" si="27"/>
        <v/>
      </c>
      <c r="L89" s="7" t="str">
        <f t="shared" si="25"/>
        <v/>
      </c>
      <c r="M89" s="194">
        <f t="shared" si="28"/>
        <v>0</v>
      </c>
      <c r="N89" s="188" t="str">
        <f t="shared" si="29"/>
        <v/>
      </c>
    </row>
    <row r="90" spans="1:14" hidden="1">
      <c r="A90" s="192"/>
      <c r="B90" s="193"/>
      <c r="C90" s="157"/>
      <c r="D90" s="158"/>
      <c r="E90" s="158"/>
      <c r="F90" s="7" t="str">
        <f t="shared" si="26"/>
        <v/>
      </c>
      <c r="G90" s="7" t="str">
        <f t="shared" si="23"/>
        <v/>
      </c>
      <c r="H90" s="160"/>
      <c r="I90" s="7" t="str">
        <f t="shared" si="30"/>
        <v/>
      </c>
      <c r="J90" s="7" t="str">
        <f t="shared" si="24"/>
        <v/>
      </c>
      <c r="K90" s="7" t="str">
        <f t="shared" si="27"/>
        <v/>
      </c>
      <c r="L90" s="7" t="str">
        <f t="shared" si="25"/>
        <v/>
      </c>
      <c r="M90" s="194">
        <f t="shared" si="28"/>
        <v>0</v>
      </c>
      <c r="N90" s="188" t="str">
        <f t="shared" si="29"/>
        <v/>
      </c>
    </row>
    <row r="91" spans="1:14" hidden="1">
      <c r="A91" s="192"/>
      <c r="B91" s="193"/>
      <c r="C91" s="157"/>
      <c r="D91" s="158"/>
      <c r="E91" s="158"/>
      <c r="F91" s="7" t="str">
        <f t="shared" si="26"/>
        <v/>
      </c>
      <c r="G91" s="7" t="str">
        <f t="shared" si="23"/>
        <v/>
      </c>
      <c r="H91" s="160"/>
      <c r="I91" s="7" t="str">
        <f t="shared" si="30"/>
        <v/>
      </c>
      <c r="J91" s="7" t="str">
        <f t="shared" si="24"/>
        <v/>
      </c>
      <c r="K91" s="7" t="str">
        <f t="shared" si="27"/>
        <v/>
      </c>
      <c r="L91" s="7" t="str">
        <f t="shared" si="25"/>
        <v/>
      </c>
      <c r="M91" s="194">
        <f t="shared" si="28"/>
        <v>0</v>
      </c>
      <c r="N91" s="188" t="str">
        <f t="shared" si="29"/>
        <v/>
      </c>
    </row>
    <row r="92" spans="1:14" hidden="1">
      <c r="A92" s="192"/>
      <c r="B92" s="193"/>
      <c r="C92" s="157"/>
      <c r="D92" s="158"/>
      <c r="E92" s="158"/>
      <c r="F92" s="7" t="str">
        <f t="shared" si="26"/>
        <v/>
      </c>
      <c r="G92" s="7" t="str">
        <f t="shared" si="23"/>
        <v/>
      </c>
      <c r="H92" s="160"/>
      <c r="I92" s="7" t="str">
        <f t="shared" si="30"/>
        <v/>
      </c>
      <c r="J92" s="7" t="str">
        <f t="shared" si="24"/>
        <v/>
      </c>
      <c r="K92" s="7" t="str">
        <f t="shared" si="27"/>
        <v/>
      </c>
      <c r="L92" s="7" t="str">
        <f t="shared" si="25"/>
        <v/>
      </c>
      <c r="M92" s="194">
        <f t="shared" si="28"/>
        <v>0</v>
      </c>
      <c r="N92" s="188" t="str">
        <f t="shared" si="29"/>
        <v/>
      </c>
    </row>
    <row r="93" spans="1:14" hidden="1">
      <c r="A93" s="192"/>
      <c r="B93" s="193"/>
      <c r="C93" s="157"/>
      <c r="D93" s="158"/>
      <c r="E93" s="158"/>
      <c r="F93" s="7" t="str">
        <f t="shared" si="26"/>
        <v/>
      </c>
      <c r="G93" s="7" t="str">
        <f t="shared" si="23"/>
        <v/>
      </c>
      <c r="H93" s="160"/>
      <c r="I93" s="7" t="str">
        <f t="shared" si="30"/>
        <v/>
      </c>
      <c r="J93" s="7" t="str">
        <f t="shared" si="24"/>
        <v/>
      </c>
      <c r="K93" s="7" t="str">
        <f t="shared" si="27"/>
        <v/>
      </c>
      <c r="L93" s="7" t="str">
        <f t="shared" si="25"/>
        <v/>
      </c>
      <c r="M93" s="194">
        <f t="shared" si="28"/>
        <v>0</v>
      </c>
      <c r="N93" s="188" t="str">
        <f t="shared" si="29"/>
        <v/>
      </c>
    </row>
    <row r="94" spans="1:14" hidden="1">
      <c r="A94" s="192"/>
      <c r="B94" s="193"/>
      <c r="C94" s="157"/>
      <c r="D94" s="158"/>
      <c r="E94" s="158"/>
      <c r="F94" s="7" t="str">
        <f t="shared" si="26"/>
        <v/>
      </c>
      <c r="G94" s="7" t="str">
        <f t="shared" ref="G94:G103" si="31">IF(OR(E94=0,F94=0),"",(E94/(0.0597*(F94^0.54)))^(1/2.63))</f>
        <v/>
      </c>
      <c r="H94" s="160"/>
      <c r="I94" s="7" t="str">
        <f t="shared" si="30"/>
        <v/>
      </c>
      <c r="J94" s="7" t="str">
        <f t="shared" si="24"/>
        <v/>
      </c>
      <c r="K94" s="7" t="str">
        <f t="shared" si="27"/>
        <v/>
      </c>
      <c r="L94" s="7" t="str">
        <f t="shared" ref="L94:L103" si="32">IF(OR(C94=0,K94=0),"",+K94-C94)</f>
        <v/>
      </c>
      <c r="M94" s="194">
        <f t="shared" ref="M94:M99" si="33">+M93-J94</f>
        <v>0</v>
      </c>
      <c r="N94" s="188" t="str">
        <f t="shared" si="29"/>
        <v/>
      </c>
    </row>
    <row r="95" spans="1:14" hidden="1">
      <c r="A95" s="192"/>
      <c r="B95" s="193"/>
      <c r="C95" s="157"/>
      <c r="D95" s="158"/>
      <c r="E95" s="158"/>
      <c r="F95" s="7" t="str">
        <f t="shared" si="26"/>
        <v/>
      </c>
      <c r="G95" s="7" t="str">
        <f t="shared" si="31"/>
        <v/>
      </c>
      <c r="H95" s="160"/>
      <c r="I95" s="7" t="str">
        <f t="shared" si="30"/>
        <v/>
      </c>
      <c r="J95" s="7" t="str">
        <f t="shared" si="24"/>
        <v/>
      </c>
      <c r="K95" s="7" t="str">
        <f t="shared" si="27"/>
        <v/>
      </c>
      <c r="L95" s="7" t="str">
        <f t="shared" si="32"/>
        <v/>
      </c>
      <c r="M95" s="194">
        <f t="shared" si="33"/>
        <v>0</v>
      </c>
      <c r="N95" s="188" t="str">
        <f t="shared" si="29"/>
        <v/>
      </c>
    </row>
    <row r="96" spans="1:14" hidden="1">
      <c r="A96" s="192"/>
      <c r="B96" s="193"/>
      <c r="C96" s="157"/>
      <c r="D96" s="158"/>
      <c r="E96" s="158"/>
      <c r="F96" s="7" t="str">
        <f t="shared" ref="F96:F103" si="34">IF(OR(OR(M95=0,C96=0),D96=0),"",((M95-C96)/D96))</f>
        <v/>
      </c>
      <c r="G96" s="7" t="str">
        <f t="shared" si="31"/>
        <v/>
      </c>
      <c r="H96" s="160"/>
      <c r="I96" s="7" t="str">
        <f t="shared" si="30"/>
        <v/>
      </c>
      <c r="J96" s="7" t="str">
        <f t="shared" si="24"/>
        <v/>
      </c>
      <c r="K96" s="7" t="str">
        <f t="shared" ref="K96:K103" si="35">IF(OR(M95=0,J96=0),"",M95-J96)</f>
        <v/>
      </c>
      <c r="L96" s="7" t="str">
        <f t="shared" si="32"/>
        <v/>
      </c>
      <c r="M96" s="194">
        <f t="shared" si="33"/>
        <v>0</v>
      </c>
      <c r="N96" s="188" t="str">
        <f t="shared" si="29"/>
        <v/>
      </c>
    </row>
    <row r="97" spans="1:14" hidden="1">
      <c r="A97" s="192"/>
      <c r="B97" s="193"/>
      <c r="C97" s="157"/>
      <c r="D97" s="158"/>
      <c r="E97" s="158"/>
      <c r="F97" s="7" t="str">
        <f t="shared" si="34"/>
        <v/>
      </c>
      <c r="G97" s="7" t="str">
        <f t="shared" si="31"/>
        <v/>
      </c>
      <c r="H97" s="160"/>
      <c r="I97" s="7" t="str">
        <f t="shared" si="30"/>
        <v/>
      </c>
      <c r="J97" s="7" t="str">
        <f t="shared" si="24"/>
        <v/>
      </c>
      <c r="K97" s="7" t="str">
        <f t="shared" si="35"/>
        <v/>
      </c>
      <c r="L97" s="7" t="str">
        <f t="shared" si="32"/>
        <v/>
      </c>
      <c r="M97" s="194">
        <f t="shared" si="33"/>
        <v>0</v>
      </c>
      <c r="N97" s="188" t="str">
        <f t="shared" si="29"/>
        <v/>
      </c>
    </row>
    <row r="98" spans="1:14" hidden="1">
      <c r="A98" s="192"/>
      <c r="B98" s="193"/>
      <c r="C98" s="157"/>
      <c r="D98" s="158"/>
      <c r="E98" s="158"/>
      <c r="F98" s="7" t="str">
        <f t="shared" si="34"/>
        <v/>
      </c>
      <c r="G98" s="7" t="str">
        <f t="shared" si="31"/>
        <v/>
      </c>
      <c r="H98" s="160"/>
      <c r="I98" s="7" t="str">
        <f t="shared" si="30"/>
        <v/>
      </c>
      <c r="J98" s="7" t="str">
        <f t="shared" si="24"/>
        <v/>
      </c>
      <c r="K98" s="7" t="str">
        <f t="shared" si="35"/>
        <v/>
      </c>
      <c r="L98" s="7" t="str">
        <f t="shared" si="32"/>
        <v/>
      </c>
      <c r="M98" s="194">
        <f t="shared" si="33"/>
        <v>0</v>
      </c>
      <c r="N98" s="188" t="str">
        <f t="shared" si="29"/>
        <v/>
      </c>
    </row>
    <row r="99" spans="1:14" hidden="1">
      <c r="A99" s="192"/>
      <c r="B99" s="193"/>
      <c r="C99" s="157"/>
      <c r="D99" s="158"/>
      <c r="E99" s="158"/>
      <c r="F99" s="7" t="str">
        <f t="shared" si="34"/>
        <v/>
      </c>
      <c r="G99" s="7" t="str">
        <f t="shared" si="31"/>
        <v/>
      </c>
      <c r="H99" s="160"/>
      <c r="I99" s="7" t="str">
        <f t="shared" si="30"/>
        <v/>
      </c>
      <c r="J99" s="7" t="str">
        <f t="shared" si="24"/>
        <v/>
      </c>
      <c r="K99" s="7" t="str">
        <f t="shared" si="35"/>
        <v/>
      </c>
      <c r="L99" s="7" t="str">
        <f t="shared" si="32"/>
        <v/>
      </c>
      <c r="M99" s="194">
        <f t="shared" si="33"/>
        <v>0</v>
      </c>
      <c r="N99" s="188" t="str">
        <f t="shared" si="29"/>
        <v/>
      </c>
    </row>
    <row r="100" spans="1:14" hidden="1">
      <c r="A100" s="192"/>
      <c r="B100" s="193"/>
      <c r="C100" s="157"/>
      <c r="D100" s="158"/>
      <c r="E100" s="158"/>
      <c r="F100" s="7" t="str">
        <f t="shared" si="34"/>
        <v/>
      </c>
      <c r="G100" s="7" t="str">
        <f t="shared" si="31"/>
        <v/>
      </c>
      <c r="H100" s="160"/>
      <c r="I100" s="7" t="str">
        <f t="shared" si="30"/>
        <v/>
      </c>
      <c r="J100" s="7" t="str">
        <f t="shared" si="24"/>
        <v/>
      </c>
      <c r="K100" s="7" t="str">
        <f t="shared" si="35"/>
        <v/>
      </c>
      <c r="L100" s="7" t="str">
        <f t="shared" si="32"/>
        <v/>
      </c>
      <c r="M100" s="194">
        <f>+M99-J100</f>
        <v>0</v>
      </c>
      <c r="N100" s="188" t="str">
        <f t="shared" si="29"/>
        <v/>
      </c>
    </row>
    <row r="101" spans="1:14" hidden="1">
      <c r="A101" s="192"/>
      <c r="B101" s="193"/>
      <c r="C101" s="157"/>
      <c r="D101" s="158"/>
      <c r="E101" s="158"/>
      <c r="F101" s="7" t="str">
        <f t="shared" si="34"/>
        <v/>
      </c>
      <c r="G101" s="7" t="str">
        <f t="shared" si="31"/>
        <v/>
      </c>
      <c r="H101" s="160"/>
      <c r="I101" s="7" t="str">
        <f t="shared" si="30"/>
        <v/>
      </c>
      <c r="J101" s="7" t="str">
        <f t="shared" si="24"/>
        <v/>
      </c>
      <c r="K101" s="7" t="str">
        <f t="shared" si="35"/>
        <v/>
      </c>
      <c r="L101" s="7" t="str">
        <f t="shared" si="32"/>
        <v/>
      </c>
      <c r="M101" s="194">
        <f>+M100-J101</f>
        <v>0</v>
      </c>
      <c r="N101" s="188" t="str">
        <f t="shared" si="29"/>
        <v/>
      </c>
    </row>
    <row r="102" spans="1:14" hidden="1">
      <c r="A102" s="192"/>
      <c r="B102" s="193"/>
      <c r="C102" s="157"/>
      <c r="D102" s="158"/>
      <c r="E102" s="158"/>
      <c r="F102" s="7" t="str">
        <f t="shared" si="34"/>
        <v/>
      </c>
      <c r="G102" s="7" t="str">
        <f t="shared" si="31"/>
        <v/>
      </c>
      <c r="H102" s="160"/>
      <c r="I102" s="7" t="str">
        <f t="shared" si="30"/>
        <v/>
      </c>
      <c r="J102" s="7" t="str">
        <f t="shared" si="24"/>
        <v/>
      </c>
      <c r="K102" s="7" t="str">
        <f t="shared" si="35"/>
        <v/>
      </c>
      <c r="L102" s="7" t="str">
        <f t="shared" si="32"/>
        <v/>
      </c>
      <c r="M102" s="194">
        <f>+M101-J102</f>
        <v>0</v>
      </c>
      <c r="N102" s="188" t="str">
        <f t="shared" si="29"/>
        <v/>
      </c>
    </row>
    <row r="103" spans="1:14" hidden="1">
      <c r="A103" s="192"/>
      <c r="B103" s="193"/>
      <c r="C103" s="157"/>
      <c r="D103" s="158">
        <f>SUM(D54:D102)</f>
        <v>0.99099999999999999</v>
      </c>
      <c r="E103" s="158"/>
      <c r="F103" s="7" t="str">
        <f t="shared" si="34"/>
        <v/>
      </c>
      <c r="G103" s="7" t="str">
        <f t="shared" si="31"/>
        <v/>
      </c>
      <c r="H103" s="160"/>
      <c r="I103" s="7" t="str">
        <f t="shared" si="30"/>
        <v/>
      </c>
      <c r="J103" s="7" t="str">
        <f t="shared" si="24"/>
        <v/>
      </c>
      <c r="K103" s="7" t="str">
        <f t="shared" si="35"/>
        <v/>
      </c>
      <c r="L103" s="7" t="str">
        <f t="shared" si="32"/>
        <v/>
      </c>
      <c r="M103" s="194">
        <f>+M102-J103</f>
        <v>0</v>
      </c>
      <c r="N103" s="188" t="str">
        <f t="shared" si="29"/>
        <v/>
      </c>
    </row>
    <row r="104" spans="1:14">
      <c r="B104" s="195"/>
      <c r="C104" s="134"/>
      <c r="D104" s="134"/>
      <c r="E104" s="134"/>
      <c r="F104" s="134"/>
      <c r="G104" s="134"/>
      <c r="H104" s="167"/>
      <c r="I104" s="134"/>
      <c r="J104" s="134"/>
      <c r="K104" s="134"/>
      <c r="L104" s="134"/>
      <c r="M104" s="196"/>
      <c r="N104" s="188" t="str">
        <f t="shared" si="29"/>
        <v/>
      </c>
    </row>
    <row r="105" spans="1:14" hidden="1">
      <c r="B105" s="195"/>
      <c r="C105" s="134"/>
      <c r="D105" s="134"/>
      <c r="E105" s="134"/>
      <c r="F105" s="134"/>
      <c r="G105" s="134"/>
      <c r="H105" s="167"/>
      <c r="I105" s="134"/>
      <c r="J105" s="134"/>
      <c r="K105" s="134" t="str">
        <f>IF(OR(M104=0,J105=0),"",M104-J105)</f>
        <v/>
      </c>
      <c r="L105" s="134"/>
      <c r="M105" s="196"/>
      <c r="N105" s="188" t="str">
        <f t="shared" si="29"/>
        <v/>
      </c>
    </row>
    <row r="106" spans="1:14" hidden="1">
      <c r="B106" s="195"/>
      <c r="C106" s="134"/>
      <c r="D106" s="134"/>
      <c r="E106" s="134"/>
      <c r="F106" s="134"/>
      <c r="G106" s="134"/>
      <c r="H106" s="167"/>
      <c r="I106" s="134"/>
      <c r="J106" s="134"/>
      <c r="K106" s="134" t="str">
        <f>IF(OR(M105=0,J106=0),"",M105-J106)</f>
        <v/>
      </c>
      <c r="L106" s="134"/>
      <c r="M106" s="196"/>
      <c r="N106" s="188" t="str">
        <f t="shared" si="29"/>
        <v/>
      </c>
    </row>
    <row r="107" spans="1:14" hidden="1">
      <c r="B107" s="197"/>
      <c r="C107" s="134"/>
      <c r="D107" s="134"/>
      <c r="E107" s="134"/>
      <c r="F107" s="134"/>
      <c r="G107" s="134"/>
      <c r="H107" s="167"/>
      <c r="I107" s="134"/>
      <c r="J107" s="134"/>
      <c r="K107" s="134" t="str">
        <f>IF(OR(M106=0,J107=0),"",M106-J107)</f>
        <v/>
      </c>
      <c r="L107" s="134"/>
      <c r="M107" s="196"/>
      <c r="N107" s="188" t="str">
        <f t="shared" si="29"/>
        <v/>
      </c>
    </row>
    <row r="108" spans="1:14" hidden="1">
      <c r="B108" s="197"/>
      <c r="C108" s="134"/>
      <c r="D108" s="134"/>
      <c r="E108" s="134"/>
      <c r="F108" s="134"/>
      <c r="G108" s="134"/>
      <c r="H108" s="198"/>
      <c r="I108" s="134"/>
      <c r="J108" s="134"/>
      <c r="K108" s="134"/>
      <c r="L108" s="134"/>
      <c r="M108" s="134"/>
      <c r="N108" s="188" t="str">
        <f t="shared" si="29"/>
        <v/>
      </c>
    </row>
    <row r="109" spans="1:14" hidden="1">
      <c r="B109" s="197"/>
      <c r="C109" s="134"/>
      <c r="D109" s="134"/>
      <c r="E109" s="134"/>
      <c r="F109" s="134"/>
      <c r="G109" s="134"/>
      <c r="H109" s="198"/>
      <c r="I109" s="134"/>
      <c r="J109" s="134"/>
      <c r="K109" s="134"/>
      <c r="L109" s="134"/>
      <c r="M109" s="134"/>
      <c r="N109" s="188" t="str">
        <f t="shared" si="29"/>
        <v/>
      </c>
    </row>
    <row r="110" spans="1:14" hidden="1">
      <c r="B110" s="197"/>
      <c r="C110" s="134"/>
      <c r="D110" s="134"/>
      <c r="E110" s="134"/>
      <c r="F110" s="134"/>
      <c r="G110" s="134"/>
      <c r="H110" s="198"/>
      <c r="I110" s="134"/>
      <c r="J110" s="134"/>
      <c r="K110" s="134"/>
      <c r="L110" s="134"/>
      <c r="M110" s="134"/>
      <c r="N110" s="188" t="str">
        <f t="shared" si="29"/>
        <v/>
      </c>
    </row>
    <row r="111" spans="1:14" hidden="1">
      <c r="B111" s="197"/>
      <c r="C111" s="134"/>
      <c r="D111" s="134"/>
      <c r="E111" s="134"/>
      <c r="F111" s="134"/>
      <c r="G111" s="134"/>
      <c r="H111" s="198"/>
      <c r="I111" s="134"/>
      <c r="J111" s="134"/>
      <c r="K111" s="134"/>
      <c r="L111" s="134"/>
      <c r="M111" s="134"/>
      <c r="N111" s="188" t="str">
        <f t="shared" si="29"/>
        <v/>
      </c>
    </row>
    <row r="112" spans="1:14">
      <c r="B112" s="197"/>
      <c r="C112" s="134"/>
      <c r="D112" s="134"/>
      <c r="E112" s="134"/>
      <c r="F112" s="134"/>
      <c r="G112" s="134"/>
      <c r="H112" s="198"/>
      <c r="I112" s="134"/>
      <c r="J112" s="134"/>
      <c r="K112" s="134"/>
      <c r="L112" s="134"/>
      <c r="M112" s="134"/>
    </row>
    <row r="113" spans="2:13">
      <c r="B113" s="197"/>
      <c r="C113" s="134"/>
      <c r="D113" s="134"/>
      <c r="E113" s="134"/>
      <c r="F113" s="134"/>
      <c r="G113" s="134"/>
      <c r="H113" s="198"/>
      <c r="I113" s="134"/>
      <c r="J113" s="134"/>
      <c r="K113" s="134"/>
      <c r="L113" s="134"/>
      <c r="M113" s="134"/>
    </row>
    <row r="114" spans="2:13">
      <c r="B114" s="197"/>
      <c r="C114" s="134"/>
      <c r="D114" s="134"/>
      <c r="E114" s="134"/>
      <c r="F114" s="134"/>
      <c r="G114" s="134"/>
      <c r="H114" s="198"/>
      <c r="I114" s="134"/>
      <c r="J114" s="134"/>
      <c r="K114" s="134"/>
      <c r="L114" s="134"/>
      <c r="M114" s="134"/>
    </row>
    <row r="115" spans="2:13">
      <c r="B115" s="197"/>
      <c r="C115" s="134"/>
      <c r="D115" s="134"/>
      <c r="E115" s="134"/>
      <c r="F115" s="134"/>
      <c r="G115" s="134"/>
      <c r="H115" s="198"/>
      <c r="I115" s="134"/>
      <c r="J115" s="134"/>
      <c r="K115" s="134"/>
      <c r="L115" s="134"/>
      <c r="M115" s="134"/>
    </row>
    <row r="116" spans="2:13">
      <c r="B116" s="197"/>
      <c r="C116" s="134"/>
      <c r="D116" s="134"/>
      <c r="E116" s="134"/>
      <c r="F116" s="134"/>
      <c r="G116" s="134"/>
      <c r="H116" s="198"/>
      <c r="I116" s="134"/>
      <c r="J116" s="134"/>
      <c r="K116" s="134"/>
      <c r="L116" s="134"/>
      <c r="M116" s="134"/>
    </row>
    <row r="117" spans="2:13">
      <c r="B117" s="197"/>
      <c r="C117" s="134"/>
      <c r="D117" s="134"/>
      <c r="E117" s="134"/>
      <c r="F117" s="134"/>
      <c r="G117" s="134"/>
      <c r="H117" s="198"/>
      <c r="I117" s="134"/>
      <c r="J117" s="134"/>
      <c r="K117" s="134"/>
      <c r="L117" s="134"/>
      <c r="M117" s="134"/>
    </row>
    <row r="118" spans="2:13">
      <c r="B118" s="197"/>
      <c r="C118" s="134"/>
      <c r="D118" s="134"/>
      <c r="E118" s="134"/>
      <c r="F118" s="134"/>
      <c r="G118" s="134"/>
      <c r="H118" s="198"/>
      <c r="I118" s="134"/>
      <c r="J118" s="134"/>
      <c r="K118" s="134"/>
      <c r="L118" s="134"/>
      <c r="M118" s="134"/>
    </row>
    <row r="119" spans="2:13">
      <c r="B119" s="197"/>
      <c r="C119" s="134"/>
      <c r="D119" s="134"/>
      <c r="E119" s="134"/>
      <c r="F119" s="134"/>
      <c r="G119" s="134"/>
      <c r="H119" s="198"/>
      <c r="I119" s="134"/>
      <c r="J119" s="134"/>
      <c r="K119" s="134"/>
      <c r="L119" s="134"/>
      <c r="M119" s="134"/>
    </row>
    <row r="120" spans="2:13">
      <c r="B120" s="197"/>
      <c r="C120" s="134"/>
      <c r="D120" s="134"/>
      <c r="E120" s="134"/>
      <c r="F120" s="134"/>
      <c r="G120" s="134"/>
      <c r="H120" s="198"/>
      <c r="I120" s="134"/>
      <c r="J120" s="134"/>
      <c r="K120" s="134"/>
      <c r="L120" s="134"/>
      <c r="M120" s="134"/>
    </row>
    <row r="121" spans="2:13">
      <c r="B121" s="197"/>
      <c r="C121" s="134"/>
      <c r="D121" s="134"/>
      <c r="E121" s="134"/>
      <c r="F121" s="134"/>
      <c r="G121" s="134"/>
      <c r="H121" s="198"/>
      <c r="I121" s="134"/>
      <c r="J121" s="134"/>
      <c r="K121" s="134"/>
      <c r="L121" s="134"/>
      <c r="M121" s="134"/>
    </row>
    <row r="122" spans="2:13">
      <c r="B122" s="197"/>
      <c r="C122" s="134"/>
      <c r="D122" s="134"/>
      <c r="E122" s="134"/>
      <c r="F122" s="134"/>
      <c r="G122" s="134"/>
      <c r="H122" s="198"/>
      <c r="I122" s="134"/>
      <c r="J122" s="134"/>
      <c r="K122" s="134"/>
      <c r="L122" s="134"/>
      <c r="M122" s="134"/>
    </row>
    <row r="123" spans="2:13">
      <c r="B123" s="197"/>
      <c r="C123" s="134"/>
      <c r="D123" s="134"/>
      <c r="E123" s="134"/>
      <c r="F123" s="134"/>
      <c r="G123" s="134"/>
      <c r="H123" s="198"/>
      <c r="I123" s="134"/>
      <c r="J123" s="134"/>
      <c r="K123" s="134"/>
      <c r="L123" s="134"/>
      <c r="M123" s="134"/>
    </row>
    <row r="124" spans="2:13">
      <c r="B124" s="197"/>
      <c r="C124" s="134"/>
      <c r="D124" s="134"/>
      <c r="E124" s="134"/>
      <c r="F124" s="134"/>
      <c r="G124" s="134"/>
      <c r="H124" s="198"/>
      <c r="I124" s="134"/>
      <c r="J124" s="134"/>
      <c r="K124" s="134"/>
      <c r="L124" s="134"/>
      <c r="M124" s="134"/>
    </row>
    <row r="125" spans="2:13">
      <c r="B125" s="197"/>
      <c r="C125" s="134"/>
      <c r="D125" s="134"/>
      <c r="E125" s="134"/>
      <c r="F125" s="134"/>
      <c r="G125" s="134"/>
      <c r="H125" s="198"/>
      <c r="I125" s="134"/>
      <c r="J125" s="134"/>
      <c r="K125" s="134"/>
      <c r="L125" s="134"/>
      <c r="M125" s="134"/>
    </row>
    <row r="126" spans="2:13">
      <c r="B126" s="197"/>
      <c r="C126" s="134"/>
      <c r="D126" s="134"/>
      <c r="E126" s="134"/>
      <c r="F126" s="134"/>
      <c r="G126" s="134"/>
      <c r="H126" s="198"/>
      <c r="I126" s="134"/>
      <c r="J126" s="134"/>
      <c r="K126" s="134"/>
      <c r="L126" s="134"/>
      <c r="M126" s="134"/>
    </row>
    <row r="127" spans="2:13">
      <c r="B127" s="197"/>
      <c r="C127" s="134"/>
      <c r="D127" s="134"/>
      <c r="E127" s="134"/>
      <c r="F127" s="134"/>
      <c r="G127" s="134"/>
      <c r="H127" s="198"/>
      <c r="I127" s="134"/>
      <c r="J127" s="134"/>
      <c r="K127" s="134"/>
      <c r="L127" s="134"/>
      <c r="M127" s="134"/>
    </row>
    <row r="128" spans="2:13">
      <c r="B128" s="197"/>
      <c r="C128" s="134"/>
      <c r="D128" s="134"/>
      <c r="E128" s="134"/>
      <c r="F128" s="134"/>
      <c r="G128" s="134"/>
      <c r="H128" s="198"/>
      <c r="I128" s="134"/>
      <c r="J128" s="134"/>
      <c r="K128" s="134"/>
      <c r="L128" s="134"/>
      <c r="M128" s="134"/>
    </row>
    <row r="129" spans="2:13">
      <c r="B129" s="197"/>
      <c r="C129" s="134"/>
      <c r="D129" s="134"/>
      <c r="E129" s="134"/>
      <c r="F129" s="134"/>
      <c r="G129" s="134"/>
      <c r="H129" s="198"/>
      <c r="I129" s="134"/>
      <c r="J129" s="134"/>
      <c r="K129" s="134"/>
      <c r="L129" s="134"/>
      <c r="M129" s="134"/>
    </row>
    <row r="130" spans="2:13">
      <c r="B130" s="197"/>
      <c r="C130" s="134"/>
      <c r="D130" s="134"/>
      <c r="E130" s="134"/>
      <c r="F130" s="134"/>
      <c r="G130" s="134"/>
      <c r="H130" s="198"/>
      <c r="I130" s="134"/>
      <c r="J130" s="134"/>
      <c r="K130" s="134"/>
      <c r="L130" s="134"/>
      <c r="M130" s="134"/>
    </row>
    <row r="131" spans="2:13">
      <c r="B131" s="197"/>
      <c r="C131" s="134"/>
      <c r="D131" s="134"/>
      <c r="E131" s="134"/>
      <c r="F131" s="134"/>
      <c r="G131" s="134"/>
      <c r="H131" s="198"/>
      <c r="I131" s="134"/>
      <c r="J131" s="134"/>
      <c r="K131" s="134"/>
      <c r="L131" s="134"/>
      <c r="M131" s="134"/>
    </row>
    <row r="132" spans="2:13">
      <c r="B132" s="197"/>
      <c r="C132" s="134"/>
      <c r="D132" s="134"/>
      <c r="E132" s="134"/>
      <c r="F132" s="134"/>
      <c r="G132" s="134"/>
      <c r="H132" s="198"/>
      <c r="I132" s="134"/>
      <c r="J132" s="134"/>
      <c r="K132" s="134"/>
      <c r="L132" s="134"/>
      <c r="M132" s="134"/>
    </row>
    <row r="133" spans="2:13">
      <c r="B133" s="197"/>
      <c r="C133" s="134"/>
      <c r="D133" s="134"/>
      <c r="E133" s="134"/>
      <c r="F133" s="134"/>
      <c r="G133" s="134"/>
      <c r="H133" s="198"/>
      <c r="I133" s="134"/>
      <c r="J133" s="134"/>
      <c r="K133" s="134"/>
      <c r="L133" s="134"/>
      <c r="M133" s="134"/>
    </row>
    <row r="134" spans="2:13">
      <c r="B134" s="197"/>
      <c r="C134" s="134"/>
      <c r="D134" s="134"/>
      <c r="E134" s="134"/>
      <c r="F134" s="134"/>
      <c r="G134" s="134"/>
      <c r="H134" s="198"/>
      <c r="I134" s="134"/>
      <c r="J134" s="134"/>
      <c r="K134" s="134"/>
      <c r="L134" s="134"/>
      <c r="M134" s="134"/>
    </row>
    <row r="135" spans="2:13">
      <c r="B135" s="197"/>
      <c r="C135" s="134"/>
      <c r="D135" s="134"/>
      <c r="E135" s="134"/>
      <c r="F135" s="134"/>
      <c r="G135" s="134"/>
      <c r="H135" s="198"/>
      <c r="I135" s="134"/>
      <c r="J135" s="134"/>
      <c r="K135" s="134"/>
      <c r="L135" s="134"/>
      <c r="M135" s="134"/>
    </row>
    <row r="136" spans="2:13">
      <c r="B136" s="197"/>
      <c r="C136" s="134"/>
      <c r="D136" s="134"/>
      <c r="E136" s="134"/>
      <c r="F136" s="134"/>
      <c r="G136" s="134"/>
      <c r="H136" s="198"/>
      <c r="I136" s="134"/>
      <c r="J136" s="134"/>
      <c r="K136" s="134"/>
      <c r="L136" s="134"/>
      <c r="M136" s="134"/>
    </row>
    <row r="137" spans="2:13">
      <c r="B137" s="197"/>
      <c r="C137" s="134"/>
      <c r="D137" s="134"/>
      <c r="E137" s="134"/>
      <c r="F137" s="134"/>
      <c r="G137" s="134"/>
      <c r="H137" s="198"/>
      <c r="I137" s="134"/>
      <c r="J137" s="134"/>
      <c r="K137" s="134"/>
      <c r="L137" s="134"/>
      <c r="M137" s="134"/>
    </row>
    <row r="138" spans="2:13">
      <c r="B138" s="197"/>
      <c r="C138" s="134"/>
      <c r="D138" s="134"/>
      <c r="E138" s="134"/>
      <c r="F138" s="134"/>
      <c r="G138" s="134"/>
      <c r="H138" s="198"/>
      <c r="I138" s="134"/>
      <c r="J138" s="134"/>
      <c r="K138" s="134"/>
      <c r="L138" s="134"/>
      <c r="M138" s="134"/>
    </row>
    <row r="139" spans="2:13">
      <c r="B139" s="197"/>
      <c r="C139" s="134"/>
      <c r="D139" s="134"/>
      <c r="E139" s="134"/>
      <c r="F139" s="134"/>
      <c r="G139" s="134"/>
      <c r="H139" s="198"/>
      <c r="I139" s="134"/>
      <c r="J139" s="134"/>
      <c r="K139" s="134"/>
      <c r="L139" s="134"/>
      <c r="M139" s="134"/>
    </row>
    <row r="140" spans="2:13">
      <c r="B140" s="197"/>
      <c r="C140" s="134"/>
      <c r="D140" s="134"/>
      <c r="E140" s="134"/>
      <c r="F140" s="134"/>
      <c r="G140" s="134"/>
      <c r="H140" s="198"/>
      <c r="I140" s="134"/>
      <c r="J140" s="134"/>
      <c r="K140" s="134"/>
      <c r="L140" s="134"/>
      <c r="M140" s="134"/>
    </row>
    <row r="141" spans="2:13">
      <c r="B141" s="197"/>
      <c r="C141" s="134"/>
      <c r="D141" s="134"/>
      <c r="E141" s="134"/>
      <c r="F141" s="134"/>
      <c r="G141" s="134"/>
      <c r="H141" s="198"/>
      <c r="I141" s="134"/>
      <c r="J141" s="134"/>
      <c r="K141" s="134"/>
      <c r="L141" s="134"/>
      <c r="M141" s="134"/>
    </row>
    <row r="142" spans="2:13">
      <c r="B142" s="197"/>
      <c r="C142" s="134"/>
      <c r="D142" s="134"/>
      <c r="E142" s="134"/>
      <c r="F142" s="134"/>
      <c r="G142" s="134"/>
      <c r="H142" s="198"/>
      <c r="I142" s="134"/>
      <c r="J142" s="134"/>
      <c r="K142" s="134"/>
      <c r="L142" s="134"/>
      <c r="M142" s="134"/>
    </row>
    <row r="143" spans="2:13">
      <c r="B143" s="197"/>
      <c r="C143" s="134"/>
      <c r="D143" s="134"/>
      <c r="E143" s="134"/>
      <c r="F143" s="134"/>
      <c r="G143" s="134"/>
      <c r="H143" s="198"/>
      <c r="I143" s="134"/>
      <c r="J143" s="134"/>
      <c r="K143" s="134"/>
      <c r="L143" s="134"/>
      <c r="M143" s="134"/>
    </row>
    <row r="144" spans="2:13">
      <c r="B144" s="197"/>
      <c r="C144" s="134"/>
      <c r="D144" s="134"/>
      <c r="E144" s="134"/>
      <c r="F144" s="134"/>
      <c r="G144" s="134"/>
      <c r="H144" s="198"/>
      <c r="I144" s="134"/>
      <c r="J144" s="134"/>
      <c r="K144" s="134"/>
      <c r="L144" s="134"/>
      <c r="M144" s="134"/>
    </row>
    <row r="145" spans="2:13">
      <c r="B145" s="197"/>
      <c r="C145" s="134"/>
      <c r="D145" s="134"/>
      <c r="E145" s="134"/>
      <c r="F145" s="134"/>
      <c r="G145" s="134"/>
      <c r="H145" s="198"/>
      <c r="I145" s="134"/>
      <c r="J145" s="134"/>
      <c r="K145" s="134"/>
      <c r="L145" s="134"/>
      <c r="M145" s="134"/>
    </row>
    <row r="146" spans="2:13">
      <c r="B146" s="197"/>
      <c r="C146" s="134"/>
      <c r="D146" s="134"/>
      <c r="E146" s="134"/>
      <c r="F146" s="134"/>
      <c r="G146" s="134"/>
      <c r="H146" s="198"/>
      <c r="I146" s="134"/>
      <c r="J146" s="134"/>
      <c r="K146" s="134"/>
      <c r="L146" s="134"/>
      <c r="M146" s="134"/>
    </row>
    <row r="147" spans="2:13">
      <c r="B147" s="197"/>
      <c r="C147" s="134"/>
      <c r="D147" s="134"/>
      <c r="E147" s="134"/>
      <c r="F147" s="134"/>
      <c r="G147" s="134"/>
      <c r="H147" s="198"/>
      <c r="I147" s="134"/>
      <c r="J147" s="134"/>
      <c r="K147" s="134"/>
      <c r="L147" s="134"/>
      <c r="M147" s="134"/>
    </row>
    <row r="148" spans="2:13">
      <c r="B148" s="197"/>
      <c r="C148" s="134"/>
      <c r="D148" s="134"/>
      <c r="E148" s="134"/>
      <c r="F148" s="134"/>
      <c r="G148" s="134"/>
      <c r="H148" s="198"/>
      <c r="I148" s="134"/>
      <c r="J148" s="134"/>
      <c r="K148" s="134"/>
      <c r="L148" s="134"/>
      <c r="M148" s="134"/>
    </row>
    <row r="149" spans="2:13">
      <c r="B149" s="197"/>
      <c r="C149" s="134"/>
      <c r="D149" s="134"/>
      <c r="E149" s="134"/>
      <c r="F149" s="134"/>
      <c r="G149" s="134"/>
      <c r="H149" s="198"/>
      <c r="I149" s="134"/>
      <c r="J149" s="134"/>
      <c r="K149" s="134"/>
      <c r="L149" s="134"/>
      <c r="M149" s="134"/>
    </row>
    <row r="150" spans="2:13">
      <c r="B150" s="197"/>
      <c r="C150" s="134"/>
      <c r="D150" s="134"/>
      <c r="E150" s="134"/>
      <c r="F150" s="134"/>
      <c r="G150" s="134"/>
      <c r="H150" s="198"/>
      <c r="I150" s="134"/>
      <c r="J150" s="134"/>
      <c r="K150" s="134"/>
      <c r="L150" s="134"/>
      <c r="M150" s="134"/>
    </row>
    <row r="151" spans="2:13">
      <c r="B151" s="197"/>
      <c r="C151" s="134"/>
      <c r="D151" s="134"/>
      <c r="E151" s="134"/>
      <c r="F151" s="134"/>
      <c r="G151" s="134"/>
      <c r="H151" s="198"/>
      <c r="I151" s="134"/>
      <c r="J151" s="134"/>
      <c r="K151" s="134"/>
      <c r="L151" s="134"/>
      <c r="M151" s="134"/>
    </row>
    <row r="152" spans="2:13">
      <c r="B152" s="197"/>
      <c r="C152" s="134"/>
      <c r="D152" s="134"/>
      <c r="E152" s="134"/>
      <c r="F152" s="134"/>
      <c r="G152" s="134"/>
      <c r="H152" s="198"/>
      <c r="I152" s="134"/>
      <c r="J152" s="134"/>
      <c r="K152" s="134"/>
      <c r="L152" s="134"/>
      <c r="M152" s="134"/>
    </row>
    <row r="153" spans="2:13">
      <c r="B153" s="197"/>
      <c r="C153" s="134"/>
      <c r="D153" s="134"/>
      <c r="E153" s="134"/>
      <c r="F153" s="134"/>
      <c r="G153" s="134"/>
      <c r="H153" s="198"/>
      <c r="I153" s="134"/>
      <c r="J153" s="134"/>
      <c r="K153" s="134"/>
      <c r="L153" s="134"/>
      <c r="M153" s="134"/>
    </row>
    <row r="154" spans="2:13">
      <c r="B154" s="197"/>
      <c r="C154" s="134"/>
      <c r="D154" s="134"/>
      <c r="E154" s="134"/>
      <c r="F154" s="134"/>
      <c r="G154" s="134"/>
      <c r="H154" s="198"/>
      <c r="I154" s="134"/>
      <c r="J154" s="134"/>
      <c r="K154" s="134"/>
      <c r="L154" s="134"/>
      <c r="M154" s="134"/>
    </row>
    <row r="155" spans="2:13">
      <c r="B155" s="197"/>
      <c r="C155" s="134"/>
      <c r="D155" s="134"/>
      <c r="E155" s="134"/>
      <c r="F155" s="134"/>
      <c r="G155" s="134"/>
      <c r="H155" s="198"/>
      <c r="I155" s="134"/>
      <c r="J155" s="134"/>
      <c r="K155" s="134"/>
      <c r="L155" s="134"/>
      <c r="M155" s="134"/>
    </row>
    <row r="156" spans="2:13">
      <c r="B156" s="197"/>
      <c r="C156" s="134"/>
      <c r="D156" s="134"/>
      <c r="E156" s="134"/>
      <c r="F156" s="134"/>
      <c r="G156" s="134"/>
      <c r="H156" s="198"/>
      <c r="I156" s="134"/>
      <c r="J156" s="134"/>
      <c r="K156" s="134"/>
      <c r="L156" s="134"/>
      <c r="M156" s="134"/>
    </row>
    <row r="157" spans="2:13">
      <c r="B157" s="197"/>
      <c r="C157" s="134"/>
      <c r="D157" s="134"/>
      <c r="E157" s="134"/>
      <c r="F157" s="134"/>
      <c r="G157" s="134"/>
      <c r="H157" s="198"/>
      <c r="I157" s="134"/>
      <c r="J157" s="134"/>
      <c r="K157" s="134"/>
      <c r="L157" s="134"/>
      <c r="M157" s="134"/>
    </row>
    <row r="158" spans="2:13">
      <c r="B158" s="197"/>
      <c r="C158" s="134"/>
      <c r="D158" s="134"/>
      <c r="E158" s="134"/>
      <c r="F158" s="134"/>
      <c r="G158" s="134"/>
      <c r="H158" s="198"/>
      <c r="I158" s="134"/>
      <c r="J158" s="134"/>
      <c r="K158" s="134"/>
      <c r="L158" s="134"/>
      <c r="M158" s="134"/>
    </row>
    <row r="159" spans="2:13">
      <c r="B159" s="197"/>
      <c r="C159" s="134"/>
      <c r="D159" s="134"/>
      <c r="E159" s="134"/>
      <c r="F159" s="134"/>
      <c r="G159" s="134"/>
      <c r="H159" s="198"/>
      <c r="I159" s="134"/>
      <c r="J159" s="134"/>
      <c r="K159" s="134"/>
      <c r="L159" s="134"/>
      <c r="M159" s="134"/>
    </row>
    <row r="160" spans="2:13">
      <c r="B160" s="197"/>
      <c r="C160" s="134"/>
      <c r="D160" s="134"/>
      <c r="E160" s="134"/>
      <c r="F160" s="134"/>
      <c r="G160" s="134"/>
      <c r="H160" s="198"/>
      <c r="I160" s="134"/>
      <c r="J160" s="134"/>
      <c r="K160" s="134"/>
      <c r="L160" s="134"/>
      <c r="M160" s="134"/>
    </row>
    <row r="161" spans="2:13">
      <c r="B161" s="197"/>
      <c r="C161" s="134"/>
      <c r="D161" s="134"/>
      <c r="E161" s="134"/>
      <c r="F161" s="134"/>
      <c r="G161" s="134"/>
      <c r="H161" s="198"/>
      <c r="I161" s="134"/>
      <c r="J161" s="134"/>
      <c r="K161" s="134"/>
      <c r="L161" s="134"/>
      <c r="M161" s="134"/>
    </row>
    <row r="162" spans="2:13">
      <c r="B162" s="197"/>
      <c r="C162" s="134"/>
      <c r="D162" s="134"/>
      <c r="E162" s="134"/>
      <c r="F162" s="134"/>
      <c r="G162" s="134"/>
      <c r="H162" s="198"/>
      <c r="I162" s="134"/>
      <c r="J162" s="134"/>
      <c r="K162" s="134"/>
      <c r="L162" s="134"/>
      <c r="M162" s="134"/>
    </row>
    <row r="163" spans="2:13">
      <c r="B163" s="197"/>
      <c r="C163" s="134"/>
      <c r="D163" s="134"/>
      <c r="E163" s="134"/>
      <c r="F163" s="134"/>
      <c r="G163" s="134"/>
      <c r="H163" s="198"/>
      <c r="I163" s="134"/>
      <c r="J163" s="134"/>
      <c r="K163" s="134"/>
      <c r="L163" s="134"/>
      <c r="M163" s="134"/>
    </row>
    <row r="164" spans="2:13">
      <c r="B164" s="197"/>
      <c r="C164" s="134"/>
      <c r="D164" s="134"/>
      <c r="E164" s="134"/>
      <c r="F164" s="134"/>
      <c r="G164" s="134"/>
      <c r="H164" s="198"/>
      <c r="I164" s="134"/>
      <c r="J164" s="134"/>
      <c r="K164" s="134"/>
      <c r="L164" s="134"/>
      <c r="M164" s="134"/>
    </row>
    <row r="165" spans="2:13">
      <c r="B165" s="197"/>
      <c r="C165" s="134"/>
      <c r="D165" s="134"/>
      <c r="E165" s="134"/>
      <c r="F165" s="134"/>
      <c r="G165" s="134"/>
      <c r="H165" s="198"/>
      <c r="I165" s="134"/>
      <c r="J165" s="134"/>
      <c r="K165" s="134"/>
      <c r="L165" s="134"/>
      <c r="M165" s="134"/>
    </row>
    <row r="166" spans="2:13">
      <c r="B166" s="197"/>
      <c r="C166" s="134"/>
      <c r="D166" s="134"/>
      <c r="E166" s="134"/>
      <c r="F166" s="134"/>
      <c r="G166" s="134"/>
      <c r="H166" s="198"/>
      <c r="I166" s="134"/>
      <c r="J166" s="134"/>
      <c r="K166" s="134"/>
      <c r="L166" s="134"/>
      <c r="M166" s="134"/>
    </row>
    <row r="167" spans="2:13">
      <c r="B167" s="197"/>
      <c r="C167" s="134"/>
      <c r="D167" s="134"/>
      <c r="E167" s="134"/>
      <c r="F167" s="134"/>
      <c r="G167" s="134"/>
      <c r="H167" s="198"/>
      <c r="I167" s="134"/>
      <c r="J167" s="134"/>
      <c r="K167" s="134"/>
      <c r="L167" s="134"/>
      <c r="M167" s="134"/>
    </row>
    <row r="168" spans="2:13">
      <c r="B168" s="197"/>
      <c r="C168" s="134"/>
      <c r="D168" s="134"/>
      <c r="E168" s="134"/>
      <c r="F168" s="134"/>
      <c r="G168" s="134"/>
      <c r="H168" s="198"/>
      <c r="I168" s="134"/>
      <c r="J168" s="134"/>
      <c r="K168" s="134"/>
      <c r="L168" s="134"/>
      <c r="M168" s="134"/>
    </row>
    <row r="169" spans="2:13">
      <c r="B169" s="197"/>
      <c r="C169" s="134"/>
      <c r="D169" s="134"/>
      <c r="E169" s="134"/>
      <c r="F169" s="134"/>
      <c r="G169" s="134"/>
      <c r="H169" s="198"/>
      <c r="I169" s="134"/>
      <c r="J169" s="134"/>
      <c r="K169" s="134"/>
      <c r="L169" s="134"/>
      <c r="M169" s="134"/>
    </row>
    <row r="170" spans="2:13">
      <c r="B170" s="197"/>
      <c r="C170" s="134"/>
      <c r="D170" s="134"/>
      <c r="E170" s="134"/>
      <c r="F170" s="134"/>
      <c r="G170" s="134"/>
      <c r="H170" s="198"/>
      <c r="I170" s="134"/>
      <c r="J170" s="134"/>
      <c r="K170" s="134"/>
      <c r="L170" s="134"/>
      <c r="M170" s="134"/>
    </row>
    <row r="171" spans="2:13">
      <c r="B171" s="197"/>
      <c r="C171" s="134"/>
      <c r="D171" s="134"/>
      <c r="E171" s="134"/>
      <c r="F171" s="134"/>
      <c r="G171" s="134"/>
      <c r="H171" s="198"/>
      <c r="I171" s="134"/>
      <c r="J171" s="134"/>
      <c r="K171" s="134"/>
      <c r="L171" s="134"/>
      <c r="M171" s="134"/>
    </row>
    <row r="172" spans="2:13">
      <c r="B172" s="197"/>
      <c r="C172" s="134"/>
      <c r="D172" s="134"/>
      <c r="E172" s="134"/>
      <c r="F172" s="134"/>
      <c r="G172" s="134"/>
      <c r="H172" s="198"/>
      <c r="I172" s="134"/>
      <c r="J172" s="134"/>
      <c r="K172" s="134"/>
      <c r="L172" s="134"/>
      <c r="M172" s="134"/>
    </row>
    <row r="173" spans="2:13">
      <c r="B173" s="197"/>
      <c r="C173" s="134"/>
      <c r="D173" s="134"/>
      <c r="E173" s="134"/>
      <c r="F173" s="134"/>
      <c r="G173" s="134"/>
      <c r="H173" s="198"/>
      <c r="I173" s="134"/>
      <c r="J173" s="134"/>
      <c r="K173" s="134"/>
      <c r="L173" s="134"/>
      <c r="M173" s="134"/>
    </row>
    <row r="174" spans="2:13">
      <c r="B174" s="197"/>
      <c r="C174" s="134"/>
      <c r="D174" s="134"/>
      <c r="E174" s="134"/>
      <c r="F174" s="134"/>
      <c r="G174" s="134"/>
      <c r="H174" s="198"/>
      <c r="I174" s="134"/>
      <c r="J174" s="134"/>
      <c r="K174" s="134"/>
      <c r="L174" s="134"/>
      <c r="M174" s="134"/>
    </row>
    <row r="175" spans="2:13">
      <c r="B175" s="197"/>
      <c r="C175" s="134"/>
      <c r="D175" s="134"/>
      <c r="E175" s="134"/>
      <c r="F175" s="134"/>
      <c r="G175" s="134"/>
      <c r="H175" s="198"/>
      <c r="I175" s="134"/>
      <c r="J175" s="134"/>
      <c r="K175" s="134"/>
      <c r="L175" s="134"/>
      <c r="M175" s="134"/>
    </row>
    <row r="176" spans="2:13">
      <c r="B176" s="197"/>
      <c r="C176" s="134"/>
      <c r="D176" s="134"/>
      <c r="E176" s="134"/>
      <c r="F176" s="134"/>
      <c r="G176" s="134"/>
      <c r="H176" s="198"/>
      <c r="I176" s="134"/>
      <c r="J176" s="134"/>
      <c r="K176" s="134"/>
      <c r="L176" s="134"/>
      <c r="M176" s="134"/>
    </row>
    <row r="177" spans="2:13">
      <c r="B177" s="197"/>
      <c r="C177" s="134"/>
      <c r="D177" s="134"/>
      <c r="E177" s="134"/>
      <c r="F177" s="134"/>
      <c r="G177" s="134"/>
      <c r="H177" s="198"/>
      <c r="I177" s="134"/>
      <c r="J177" s="134"/>
      <c r="K177" s="134"/>
      <c r="L177" s="134"/>
      <c r="M177" s="134"/>
    </row>
    <row r="178" spans="2:13">
      <c r="B178" s="197"/>
      <c r="C178" s="134"/>
      <c r="D178" s="134"/>
      <c r="E178" s="134"/>
      <c r="F178" s="134"/>
      <c r="G178" s="134"/>
      <c r="H178" s="198"/>
      <c r="I178" s="134"/>
      <c r="J178" s="134"/>
      <c r="K178" s="134"/>
      <c r="L178" s="134"/>
      <c r="M178" s="134"/>
    </row>
    <row r="179" spans="2:13">
      <c r="B179" s="197"/>
      <c r="C179" s="134"/>
      <c r="D179" s="134"/>
      <c r="E179" s="134"/>
      <c r="F179" s="134"/>
      <c r="G179" s="134"/>
      <c r="H179" s="198"/>
      <c r="I179" s="134"/>
      <c r="J179" s="134"/>
      <c r="K179" s="134"/>
      <c r="L179" s="134"/>
      <c r="M179" s="134"/>
    </row>
    <row r="180" spans="2:13">
      <c r="B180" s="197"/>
      <c r="C180" s="134"/>
      <c r="D180" s="134"/>
      <c r="E180" s="134"/>
      <c r="F180" s="134"/>
      <c r="G180" s="134"/>
      <c r="H180" s="198"/>
      <c r="I180" s="134"/>
      <c r="J180" s="134"/>
      <c r="K180" s="134"/>
      <c r="L180" s="134"/>
      <c r="M180" s="134"/>
    </row>
    <row r="181" spans="2:13">
      <c r="B181" s="197"/>
      <c r="C181" s="134"/>
      <c r="D181" s="134"/>
      <c r="E181" s="134"/>
      <c r="F181" s="134"/>
      <c r="G181" s="134"/>
      <c r="H181" s="198"/>
      <c r="I181" s="134"/>
      <c r="J181" s="134"/>
      <c r="K181" s="134"/>
      <c r="L181" s="134"/>
      <c r="M181" s="134"/>
    </row>
    <row r="182" spans="2:13">
      <c r="B182" s="197"/>
      <c r="C182" s="134"/>
      <c r="D182" s="134"/>
      <c r="E182" s="134"/>
      <c r="F182" s="134"/>
      <c r="G182" s="134"/>
      <c r="H182" s="198"/>
      <c r="I182" s="134"/>
      <c r="J182" s="134"/>
      <c r="K182" s="134"/>
      <c r="L182" s="134"/>
      <c r="M182" s="134"/>
    </row>
    <row r="183" spans="2:13">
      <c r="B183" s="197"/>
      <c r="C183" s="134"/>
      <c r="D183" s="134"/>
      <c r="E183" s="134"/>
      <c r="F183" s="134"/>
      <c r="G183" s="134"/>
      <c r="H183" s="198"/>
      <c r="I183" s="134"/>
      <c r="J183" s="134"/>
      <c r="K183" s="134"/>
      <c r="L183" s="134"/>
      <c r="M183" s="134"/>
    </row>
    <row r="184" spans="2:13">
      <c r="B184" s="197"/>
      <c r="C184" s="134"/>
      <c r="D184" s="134"/>
      <c r="E184" s="134"/>
      <c r="F184" s="134"/>
      <c r="G184" s="134"/>
      <c r="H184" s="198"/>
      <c r="I184" s="134"/>
      <c r="J184" s="134"/>
      <c r="K184" s="134"/>
      <c r="L184" s="134"/>
      <c r="M184" s="134"/>
    </row>
    <row r="185" spans="2:13">
      <c r="B185" s="197"/>
      <c r="C185" s="134"/>
      <c r="D185" s="134"/>
      <c r="E185" s="134"/>
      <c r="F185" s="134"/>
      <c r="G185" s="134"/>
      <c r="H185" s="198"/>
      <c r="I185" s="134"/>
      <c r="J185" s="134"/>
      <c r="K185" s="134"/>
      <c r="L185" s="134"/>
      <c r="M185" s="134"/>
    </row>
    <row r="186" spans="2:13">
      <c r="B186" s="197"/>
      <c r="C186" s="134"/>
      <c r="D186" s="134"/>
      <c r="E186" s="134"/>
      <c r="F186" s="134"/>
      <c r="G186" s="134"/>
      <c r="H186" s="198"/>
      <c r="I186" s="134"/>
      <c r="J186" s="134"/>
      <c r="K186" s="134"/>
      <c r="L186" s="134"/>
      <c r="M186" s="134"/>
    </row>
    <row r="187" spans="2:13">
      <c r="B187" s="197"/>
      <c r="C187" s="134"/>
      <c r="D187" s="134"/>
      <c r="E187" s="134"/>
      <c r="F187" s="134"/>
      <c r="G187" s="134"/>
      <c r="H187" s="198"/>
      <c r="I187" s="134"/>
      <c r="J187" s="134"/>
      <c r="K187" s="134"/>
      <c r="L187" s="134"/>
      <c r="M187" s="134"/>
    </row>
    <row r="188" spans="2:13">
      <c r="B188" s="197"/>
      <c r="C188" s="134"/>
      <c r="D188" s="134"/>
      <c r="E188" s="134"/>
      <c r="F188" s="134"/>
      <c r="G188" s="134"/>
      <c r="H188" s="198"/>
      <c r="I188" s="134"/>
      <c r="J188" s="134"/>
      <c r="K188" s="134"/>
      <c r="L188" s="134"/>
      <c r="M188" s="134"/>
    </row>
  </sheetData>
  <mergeCells count="1">
    <mergeCell ref="B2:M2"/>
  </mergeCells>
  <pageMargins left="0.36" right="0.31" top="0.74" bottom="0.55000000000000004" header="0.511811024" footer="0.511811024"/>
  <pageSetup paperSize="9" scale="6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F52"/>
  <sheetViews>
    <sheetView tabSelected="1" view="pageBreakPreview" topLeftCell="A4" zoomScaleNormal="90" zoomScaleSheetLayoutView="100" workbookViewId="0">
      <selection activeCell="K21" sqref="K21"/>
    </sheetView>
  </sheetViews>
  <sheetFormatPr baseColWidth="10" defaultRowHeight="14.4"/>
  <cols>
    <col min="1" max="1" width="8.44140625" customWidth="1"/>
    <col min="2" max="2" width="8" style="8" customWidth="1"/>
    <col min="3" max="3" width="10.77734375" style="8" customWidth="1"/>
    <col min="4" max="4" width="9.21875" style="8" customWidth="1"/>
    <col min="5" max="5" width="9.44140625" style="8" customWidth="1"/>
    <col min="6" max="6" width="11.44140625" style="8" customWidth="1"/>
    <col min="7" max="7" width="9.21875" style="8" customWidth="1"/>
    <col min="8" max="8" width="9.109375" style="8" customWidth="1"/>
    <col min="9" max="9" width="10" style="8" customWidth="1"/>
    <col min="10" max="10" width="6.88671875" style="8" customWidth="1"/>
    <col min="11" max="11" width="8.77734375" style="8" customWidth="1"/>
    <col min="12" max="12" width="6.5546875" style="8" customWidth="1"/>
    <col min="13" max="13" width="10" style="8" customWidth="1"/>
    <col min="14" max="14" width="8.77734375" style="8" customWidth="1"/>
    <col min="15" max="15" width="8.33203125" style="8" customWidth="1"/>
    <col min="16" max="16" width="11.5546875" style="8"/>
    <col min="17" max="17" width="13.33203125" style="8" bestFit="1" customWidth="1"/>
    <col min="18" max="18" width="12.109375" style="8" customWidth="1"/>
    <col min="19" max="19" width="11.5546875" style="8" customWidth="1"/>
  </cols>
  <sheetData>
    <row r="2" spans="1:20" ht="25.8" customHeight="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</row>
    <row r="3" spans="1:20">
      <c r="E3" s="10" t="s">
        <v>4</v>
      </c>
      <c r="R3" s="11"/>
    </row>
    <row r="4" spans="1:20">
      <c r="P4" s="8" t="s">
        <v>29</v>
      </c>
      <c r="Q4" s="26">
        <v>731</v>
      </c>
      <c r="T4" s="6"/>
    </row>
    <row r="5" spans="1:20">
      <c r="N5" s="12"/>
      <c r="P5" s="8" t="s">
        <v>24</v>
      </c>
      <c r="Q5" s="27">
        <v>0.85</v>
      </c>
      <c r="T5">
        <f>+T4/H13</f>
        <v>0</v>
      </c>
    </row>
    <row r="6" spans="1:20">
      <c r="O6" s="13"/>
      <c r="P6" s="8" t="s">
        <v>25</v>
      </c>
      <c r="Q6" s="27">
        <f>0.85*1.3</f>
        <v>1.105</v>
      </c>
      <c r="R6" s="8" t="s">
        <v>27</v>
      </c>
    </row>
    <row r="7" spans="1:20">
      <c r="H7" s="14"/>
      <c r="I7" s="14"/>
      <c r="J7" s="14"/>
      <c r="K7" s="14"/>
      <c r="L7" s="14"/>
      <c r="P7" s="8" t="s">
        <v>26</v>
      </c>
      <c r="Q7" s="27">
        <f>+Q5*2</f>
        <v>1.7</v>
      </c>
      <c r="R7" s="8" t="s">
        <v>28</v>
      </c>
    </row>
    <row r="8" spans="1:20">
      <c r="E8" s="8" t="s">
        <v>5</v>
      </c>
      <c r="F8" s="8" t="s">
        <v>6</v>
      </c>
      <c r="H8" s="14" t="s">
        <v>22</v>
      </c>
      <c r="I8" s="222">
        <f>+Q7/Q4</f>
        <v>2.3255813953488372E-3</v>
      </c>
      <c r="J8" s="222"/>
      <c r="K8" s="14" t="s">
        <v>0</v>
      </c>
      <c r="N8" s="13" t="s">
        <v>47</v>
      </c>
      <c r="P8" s="8" t="s">
        <v>30</v>
      </c>
      <c r="Q8" s="28">
        <v>5</v>
      </c>
    </row>
    <row r="10" spans="1:20">
      <c r="F10" s="8" t="s">
        <v>9</v>
      </c>
      <c r="G10" s="8" t="s">
        <v>10</v>
      </c>
      <c r="H10" s="78" t="s">
        <v>11</v>
      </c>
      <c r="K10" s="8" t="s">
        <v>12</v>
      </c>
      <c r="L10" s="8" t="s">
        <v>13</v>
      </c>
      <c r="O10" s="13" t="s">
        <v>21</v>
      </c>
      <c r="P10" s="8">
        <v>150</v>
      </c>
    </row>
    <row r="11" spans="1:20">
      <c r="P11" s="218" t="s">
        <v>14</v>
      </c>
      <c r="Q11" s="218"/>
      <c r="R11" s="9"/>
      <c r="T11">
        <v>61.036999999999999</v>
      </c>
    </row>
    <row r="12" spans="1:20" ht="31.8" customHeight="1">
      <c r="A12" s="220" t="s">
        <v>8</v>
      </c>
      <c r="B12" s="221"/>
      <c r="C12" s="39" t="s">
        <v>43</v>
      </c>
      <c r="D12" s="39" t="s">
        <v>44</v>
      </c>
      <c r="E12" s="40" t="s">
        <v>7</v>
      </c>
      <c r="F12" s="41" t="s">
        <v>17</v>
      </c>
      <c r="G12" s="42" t="s">
        <v>46</v>
      </c>
      <c r="H12" s="41" t="s">
        <v>18</v>
      </c>
      <c r="I12" s="41" t="s">
        <v>50</v>
      </c>
      <c r="J12" s="43" t="s">
        <v>45</v>
      </c>
      <c r="K12" s="43" t="s">
        <v>2</v>
      </c>
      <c r="L12" s="200" t="s">
        <v>23</v>
      </c>
      <c r="M12" s="42" t="s">
        <v>3</v>
      </c>
      <c r="N12" s="44" t="s">
        <v>39</v>
      </c>
      <c r="O12" s="45" t="s">
        <v>1</v>
      </c>
      <c r="P12" s="45" t="s">
        <v>20</v>
      </c>
      <c r="Q12" s="44" t="s">
        <v>15</v>
      </c>
      <c r="R12" s="44" t="s">
        <v>19</v>
      </c>
      <c r="S12" s="44" t="s">
        <v>16</v>
      </c>
    </row>
    <row r="13" spans="1:20" ht="15.6">
      <c r="A13" s="29" t="s">
        <v>40</v>
      </c>
      <c r="B13" s="34" t="s">
        <v>31</v>
      </c>
      <c r="C13" s="29">
        <v>2550</v>
      </c>
      <c r="D13" s="34">
        <v>2527</v>
      </c>
      <c r="E13" s="3">
        <v>0</v>
      </c>
      <c r="F13" s="3">
        <f t="shared" ref="F13:F23" si="0">ROUND(E13*$Q$8*$I$8,3)</f>
        <v>0</v>
      </c>
      <c r="G13" s="15">
        <f>+G14+G19</f>
        <v>1.7109999999999999</v>
      </c>
      <c r="H13" s="16">
        <v>140</v>
      </c>
      <c r="I13" s="16">
        <f>((C13-D13)/H13)*1000</f>
        <v>164.28571428571428</v>
      </c>
      <c r="J13" s="16">
        <f>(G13/(0.0004264*$P$10*(I13^0.54)))^(1/2.63)</f>
        <v>1.2240562972554827</v>
      </c>
      <c r="K13" s="24">
        <v>1.5</v>
      </c>
      <c r="L13" s="5">
        <f>IF(K13=1,29.4,IF(K13=1.5,43.4,IF(K13=0.75,22.9,IF(K13=0.5,17.4))))</f>
        <v>43.4</v>
      </c>
      <c r="M13" s="25">
        <f>ROUND((4*G13/1000)/(((L13/1000)^2)*3.1416),2)</f>
        <v>1.1599999999999999</v>
      </c>
      <c r="N13" s="16">
        <f>ROUND(((G13/(0.0004264*$P$10*((L13/25.4)^2.63)))^1.852),2)</f>
        <v>32.380000000000003</v>
      </c>
      <c r="O13" s="16">
        <f>ROUND(+H13*N13/1000,2)</f>
        <v>4.53</v>
      </c>
      <c r="P13" s="33">
        <f>+C13</f>
        <v>2550</v>
      </c>
      <c r="Q13" s="36">
        <f>+P13-O13</f>
        <v>2545.4699999999998</v>
      </c>
      <c r="R13" s="32">
        <f>P13-C13</f>
        <v>0</v>
      </c>
      <c r="S13" s="37">
        <f>Q13-D13</f>
        <v>18.4699999999998</v>
      </c>
      <c r="T13" s="6"/>
    </row>
    <row r="14" spans="1:20" ht="15.6">
      <c r="A14" s="29" t="s">
        <v>31</v>
      </c>
      <c r="B14" s="34" t="s">
        <v>32</v>
      </c>
      <c r="C14" s="29">
        <f>+D13</f>
        <v>2527</v>
      </c>
      <c r="D14" s="34">
        <v>2512</v>
      </c>
      <c r="E14" s="3">
        <v>10</v>
      </c>
      <c r="F14" s="3">
        <f t="shared" si="0"/>
        <v>0.11600000000000001</v>
      </c>
      <c r="G14" s="15">
        <f>+G17+G15+F14</f>
        <v>0.22200000000000003</v>
      </c>
      <c r="H14" s="16">
        <v>75</v>
      </c>
      <c r="I14" s="16">
        <f>+(C14-D14+S13)*1000/H14</f>
        <v>446.26666666666392</v>
      </c>
      <c r="J14" s="16">
        <f>(G14/(0.0004264*$P$10*(I14^0.54)))^(1/2.63)</f>
        <v>0.45863692591029304</v>
      </c>
      <c r="K14" s="24">
        <v>0.75</v>
      </c>
      <c r="L14" s="5">
        <f t="shared" ref="L14:L24" si="1">IF(K14=1,29.4,IF(K14=1.5,43.4,IF(K14=0.75,22.9,IF(K14=0.5,17.4))))</f>
        <v>22.9</v>
      </c>
      <c r="M14" s="25">
        <f t="shared" ref="M14:M24" si="2">ROUND((4*G14/1000)/(((L14/1000)^2)*3.1416),2)</f>
        <v>0.54</v>
      </c>
      <c r="N14" s="16">
        <f t="shared" ref="N14:N24" si="3">ROUND(((G14/(0.0004264*$P$10*((L14/25.4)^2.63)))^1.852),2)</f>
        <v>16.600000000000001</v>
      </c>
      <c r="O14" s="16">
        <f t="shared" ref="O14:O24" si="4">ROUND(+H14*N14/1000,2)</f>
        <v>1.25</v>
      </c>
      <c r="P14" s="33">
        <f>+Q13</f>
        <v>2545.4699999999998</v>
      </c>
      <c r="Q14" s="36">
        <f>+P14-O14</f>
        <v>2544.2199999999998</v>
      </c>
      <c r="R14" s="32">
        <f>+S13</f>
        <v>18.4699999999998</v>
      </c>
      <c r="S14" s="37">
        <f t="shared" ref="S14:S24" si="5">+Q14-D14</f>
        <v>32.2199999999998</v>
      </c>
      <c r="T14" s="16">
        <v>446.26666666666398</v>
      </c>
    </row>
    <row r="15" spans="1:20" ht="15.6">
      <c r="A15" s="29" t="s">
        <v>32</v>
      </c>
      <c r="B15" s="34" t="s">
        <v>49</v>
      </c>
      <c r="C15" s="29">
        <f>+D14</f>
        <v>2512</v>
      </c>
      <c r="D15" s="34">
        <v>2500</v>
      </c>
      <c r="E15" s="3">
        <v>4</v>
      </c>
      <c r="F15" s="3">
        <f t="shared" si="0"/>
        <v>4.7E-2</v>
      </c>
      <c r="G15" s="3">
        <f>+F16+F15</f>
        <v>8.2000000000000003E-2</v>
      </c>
      <c r="H15" s="16">
        <v>50</v>
      </c>
      <c r="I15" s="16">
        <f>+(C15-D15+S14)*1000/H15</f>
        <v>884.39999999999588</v>
      </c>
      <c r="J15" s="16">
        <f t="shared" ref="J15:J17" si="6">(G15/(0.0004264*$P$10*(I15^0.54)))^(1/2.63)</f>
        <v>0.27290616010549584</v>
      </c>
      <c r="K15" s="24">
        <v>0.75</v>
      </c>
      <c r="L15" s="5">
        <f t="shared" si="1"/>
        <v>22.9</v>
      </c>
      <c r="M15" s="25">
        <f t="shared" ref="M15:M17" si="7">ROUND((4*G15/1000)/(((L15/1000)^2)*3.1416),2)</f>
        <v>0.2</v>
      </c>
      <c r="N15" s="16">
        <f t="shared" si="3"/>
        <v>2.62</v>
      </c>
      <c r="O15" s="16">
        <f t="shared" ref="O15:O17" si="8">ROUND(+H15*N15/1000,2)</f>
        <v>0.13</v>
      </c>
      <c r="P15" s="33">
        <f>+Q14</f>
        <v>2544.2199999999998</v>
      </c>
      <c r="Q15" s="36">
        <f t="shared" ref="Q15" si="9">+P15-O15</f>
        <v>2544.0899999999997</v>
      </c>
      <c r="R15" s="32">
        <f>+S14</f>
        <v>32.2199999999998</v>
      </c>
      <c r="S15" s="37">
        <f t="shared" si="5"/>
        <v>44.089999999999691</v>
      </c>
      <c r="T15" s="16">
        <v>884.399999999996</v>
      </c>
    </row>
    <row r="16" spans="1:20" ht="15.6">
      <c r="A16" s="38" t="s">
        <v>49</v>
      </c>
      <c r="B16" s="34" t="s">
        <v>36</v>
      </c>
      <c r="C16" s="29">
        <v>2500</v>
      </c>
      <c r="D16" s="34">
        <v>2487</v>
      </c>
      <c r="E16" s="3">
        <v>3</v>
      </c>
      <c r="F16" s="3">
        <f t="shared" si="0"/>
        <v>3.5000000000000003E-2</v>
      </c>
      <c r="G16" s="15">
        <f>+F16</f>
        <v>3.5000000000000003E-2</v>
      </c>
      <c r="H16" s="16">
        <v>50</v>
      </c>
      <c r="I16" s="16">
        <f>+(C16-D16)*1000/H16</f>
        <v>260</v>
      </c>
      <c r="J16" s="16">
        <f t="shared" si="6"/>
        <v>0.25385800775540734</v>
      </c>
      <c r="K16" s="24">
        <v>0.75</v>
      </c>
      <c r="L16" s="5">
        <f t="shared" si="1"/>
        <v>22.9</v>
      </c>
      <c r="M16" s="25">
        <f t="shared" si="7"/>
        <v>0.08</v>
      </c>
      <c r="N16" s="16">
        <f t="shared" si="3"/>
        <v>0.54</v>
      </c>
      <c r="O16" s="16">
        <f t="shared" si="8"/>
        <v>0.03</v>
      </c>
      <c r="P16" s="33">
        <f>+C16</f>
        <v>2500</v>
      </c>
      <c r="Q16" s="36">
        <f>+P16-O16</f>
        <v>2499.9699999999998</v>
      </c>
      <c r="R16" s="36">
        <v>0</v>
      </c>
      <c r="S16" s="37">
        <f t="shared" si="5"/>
        <v>12.9699999999998</v>
      </c>
      <c r="T16" s="16">
        <v>1141.7999999999938</v>
      </c>
    </row>
    <row r="17" spans="1:20" ht="15.6">
      <c r="A17" s="29" t="s">
        <v>32</v>
      </c>
      <c r="B17" s="34" t="s">
        <v>48</v>
      </c>
      <c r="C17" s="29">
        <v>2512</v>
      </c>
      <c r="D17" s="34">
        <v>2500</v>
      </c>
      <c r="E17" s="3">
        <v>1</v>
      </c>
      <c r="F17" s="3">
        <f t="shared" si="0"/>
        <v>1.2E-2</v>
      </c>
      <c r="G17" s="15">
        <f>+F18+F17</f>
        <v>2.4E-2</v>
      </c>
      <c r="H17" s="16">
        <v>50</v>
      </c>
      <c r="I17" s="16">
        <f>+(C17-D17+S14)*1000/H17</f>
        <v>884.39999999999588</v>
      </c>
      <c r="J17" s="16">
        <f t="shared" si="6"/>
        <v>0.17104981637240399</v>
      </c>
      <c r="K17" s="24">
        <v>0.75</v>
      </c>
      <c r="L17" s="5">
        <f t="shared" si="1"/>
        <v>22.9</v>
      </c>
      <c r="M17" s="25">
        <f t="shared" si="7"/>
        <v>0.06</v>
      </c>
      <c r="N17" s="16">
        <f t="shared" si="3"/>
        <v>0.27</v>
      </c>
      <c r="O17" s="16">
        <f t="shared" si="8"/>
        <v>0.01</v>
      </c>
      <c r="P17" s="33">
        <f>+Q14</f>
        <v>2544.2199999999998</v>
      </c>
      <c r="Q17" s="36">
        <f>+P17-O17</f>
        <v>2544.2099999999996</v>
      </c>
      <c r="R17" s="32">
        <f>+S14</f>
        <v>32.2199999999998</v>
      </c>
      <c r="S17" s="37">
        <f t="shared" si="5"/>
        <v>44.209999999999582</v>
      </c>
      <c r="T17" s="16">
        <v>884.399999999996</v>
      </c>
    </row>
    <row r="18" spans="1:20" ht="15.6">
      <c r="A18" s="38" t="s">
        <v>48</v>
      </c>
      <c r="B18" s="34" t="s">
        <v>33</v>
      </c>
      <c r="C18" s="29">
        <v>2500</v>
      </c>
      <c r="D18" s="34">
        <v>2492</v>
      </c>
      <c r="E18" s="3">
        <v>1</v>
      </c>
      <c r="F18" s="3">
        <f t="shared" si="0"/>
        <v>1.2E-2</v>
      </c>
      <c r="G18" s="3">
        <f>+F18</f>
        <v>1.2E-2</v>
      </c>
      <c r="H18" s="16">
        <v>30</v>
      </c>
      <c r="I18" s="16">
        <f>+(C18-D18+0)*1000/H18</f>
        <v>266.66666666666669</v>
      </c>
      <c r="J18" s="16">
        <f t="shared" ref="J18:J24" si="10">(G18/(0.0004264*$P$10*(I18^0.54)))^(1/2.63)</f>
        <v>0.1681009697541232</v>
      </c>
      <c r="K18" s="24">
        <v>0.75</v>
      </c>
      <c r="L18" s="5">
        <f t="shared" si="1"/>
        <v>22.9</v>
      </c>
      <c r="M18" s="25">
        <f t="shared" si="2"/>
        <v>0.03</v>
      </c>
      <c r="N18" s="16">
        <f t="shared" si="3"/>
        <v>7.0000000000000007E-2</v>
      </c>
      <c r="O18" s="16">
        <f t="shared" si="4"/>
        <v>0</v>
      </c>
      <c r="P18" s="33">
        <f>+C18</f>
        <v>2500</v>
      </c>
      <c r="Q18" s="36">
        <f t="shared" ref="Q16:Q24" si="11">+P18-O18</f>
        <v>2500</v>
      </c>
      <c r="R18" s="36">
        <f>+P18-C18</f>
        <v>0</v>
      </c>
      <c r="S18" s="37">
        <f t="shared" si="5"/>
        <v>8</v>
      </c>
      <c r="T18" s="16">
        <v>1740.3333333333194</v>
      </c>
    </row>
    <row r="19" spans="1:20" ht="15.6">
      <c r="A19" s="30" t="s">
        <v>31</v>
      </c>
      <c r="B19" s="35" t="s">
        <v>41</v>
      </c>
      <c r="C19" s="30">
        <f>+C14</f>
        <v>2527</v>
      </c>
      <c r="D19" s="35">
        <v>2500</v>
      </c>
      <c r="E19" s="3">
        <f>35+10</f>
        <v>45</v>
      </c>
      <c r="F19" s="227">
        <f t="shared" si="0"/>
        <v>0.52300000000000002</v>
      </c>
      <c r="G19" s="228">
        <f>+G20+G21+F19</f>
        <v>1.4889999999999999</v>
      </c>
      <c r="H19" s="16">
        <v>220</v>
      </c>
      <c r="I19" s="16">
        <f>+(C19-D19+S13)*1000/H19</f>
        <v>206.68181818181725</v>
      </c>
      <c r="J19" s="16">
        <f t="shared" si="10"/>
        <v>1.1075959895176506</v>
      </c>
      <c r="K19" s="24">
        <v>1.5</v>
      </c>
      <c r="L19" s="5">
        <f t="shared" si="1"/>
        <v>43.4</v>
      </c>
      <c r="M19" s="25">
        <f t="shared" si="2"/>
        <v>1.01</v>
      </c>
      <c r="N19" s="16">
        <f t="shared" si="3"/>
        <v>25.03</v>
      </c>
      <c r="O19" s="16">
        <f t="shared" si="4"/>
        <v>5.51</v>
      </c>
      <c r="P19" s="33">
        <f>+Q13</f>
        <v>2545.4699999999998</v>
      </c>
      <c r="Q19" s="36">
        <f t="shared" si="11"/>
        <v>2539.9599999999996</v>
      </c>
      <c r="R19" s="32">
        <f>+S13</f>
        <v>18.4699999999998</v>
      </c>
      <c r="S19" s="37">
        <f t="shared" si="5"/>
        <v>39.959999999999582</v>
      </c>
      <c r="T19" s="16">
        <v>206.68181818181728</v>
      </c>
    </row>
    <row r="20" spans="1:20" ht="15.6">
      <c r="A20" s="30" t="s">
        <v>41</v>
      </c>
      <c r="B20" s="35" t="s">
        <v>38</v>
      </c>
      <c r="C20" s="30">
        <f>+D19</f>
        <v>2500</v>
      </c>
      <c r="D20" s="35">
        <v>2497</v>
      </c>
      <c r="E20" s="3">
        <v>16</v>
      </c>
      <c r="F20" s="3">
        <f t="shared" si="0"/>
        <v>0.186</v>
      </c>
      <c r="G20" s="15">
        <f>+F20</f>
        <v>0.186</v>
      </c>
      <c r="H20" s="16">
        <v>130</v>
      </c>
      <c r="I20" s="16">
        <f>+(C20-D20+S19)*1000/H20</f>
        <v>330.46153846153521</v>
      </c>
      <c r="J20" s="16">
        <f t="shared" si="10"/>
        <v>0.45608051450282999</v>
      </c>
      <c r="K20" s="24">
        <v>0.75</v>
      </c>
      <c r="L20" s="5">
        <f t="shared" si="1"/>
        <v>22.9</v>
      </c>
      <c r="M20" s="25">
        <f t="shared" si="2"/>
        <v>0.45</v>
      </c>
      <c r="N20" s="16">
        <f t="shared" si="3"/>
        <v>11.96</v>
      </c>
      <c r="O20" s="16">
        <f t="shared" si="4"/>
        <v>1.55</v>
      </c>
      <c r="P20" s="33">
        <f>+Q19</f>
        <v>2539.9599999999996</v>
      </c>
      <c r="Q20" s="36">
        <f t="shared" si="11"/>
        <v>2538.4099999999994</v>
      </c>
      <c r="R20" s="32">
        <f>+S19</f>
        <v>39.959999999999582</v>
      </c>
      <c r="S20" s="37">
        <f t="shared" si="5"/>
        <v>41.4099999999994</v>
      </c>
      <c r="T20" s="16">
        <v>330.46153846153527</v>
      </c>
    </row>
    <row r="21" spans="1:20" ht="15.6">
      <c r="A21" s="30" t="s">
        <v>41</v>
      </c>
      <c r="B21" s="35" t="s">
        <v>42</v>
      </c>
      <c r="C21" s="30">
        <f>+C20</f>
        <v>2500</v>
      </c>
      <c r="D21" s="35">
        <v>2500</v>
      </c>
      <c r="E21" s="3">
        <v>0</v>
      </c>
      <c r="F21" s="3">
        <f t="shared" si="0"/>
        <v>0</v>
      </c>
      <c r="G21" s="15">
        <f>+G22+F21</f>
        <v>0.78</v>
      </c>
      <c r="H21" s="16">
        <v>1</v>
      </c>
      <c r="I21" s="16">
        <f>+(C21-D21+S19)*1000/H21</f>
        <v>39959.999999999578</v>
      </c>
      <c r="J21" s="16">
        <f t="shared" si="10"/>
        <v>0.29388545640453662</v>
      </c>
      <c r="K21" s="242">
        <v>1</v>
      </c>
      <c r="L21" s="5">
        <f t="shared" si="1"/>
        <v>29.4</v>
      </c>
      <c r="M21" s="25">
        <f t="shared" si="2"/>
        <v>1.1499999999999999</v>
      </c>
      <c r="N21" s="16">
        <f t="shared" si="3"/>
        <v>50.38</v>
      </c>
      <c r="O21" s="16">
        <f t="shared" si="4"/>
        <v>0.05</v>
      </c>
      <c r="P21" s="33">
        <f>+P20</f>
        <v>2539.9599999999996</v>
      </c>
      <c r="Q21" s="36">
        <f t="shared" si="11"/>
        <v>2539.9099999999994</v>
      </c>
      <c r="R21" s="32">
        <f>+R20</f>
        <v>39.959999999999582</v>
      </c>
      <c r="S21" s="37">
        <f t="shared" si="5"/>
        <v>39.9099999999994</v>
      </c>
      <c r="T21" s="16">
        <v>41959.999999999578</v>
      </c>
    </row>
    <row r="22" spans="1:20" ht="15.6">
      <c r="A22" s="38" t="s">
        <v>42</v>
      </c>
      <c r="B22" s="34" t="s">
        <v>35</v>
      </c>
      <c r="C22" s="29">
        <f>+D21</f>
        <v>2500</v>
      </c>
      <c r="D22" s="34">
        <v>2480</v>
      </c>
      <c r="E22" s="3">
        <f>20+10</f>
        <v>30</v>
      </c>
      <c r="F22" s="3">
        <f t="shared" si="0"/>
        <v>0.34899999999999998</v>
      </c>
      <c r="G22" s="15">
        <f>+F24+F23+F22</f>
        <v>0.78</v>
      </c>
      <c r="H22" s="16">
        <v>90</v>
      </c>
      <c r="I22" s="16">
        <f>+(C22-D22+0)*1000/H22</f>
        <v>222.22222222222223</v>
      </c>
      <c r="J22" s="16">
        <f t="shared" si="10"/>
        <v>0.85339212927637986</v>
      </c>
      <c r="K22" s="24">
        <v>1</v>
      </c>
      <c r="L22" s="5">
        <f t="shared" si="1"/>
        <v>29.4</v>
      </c>
      <c r="M22" s="25">
        <f t="shared" si="2"/>
        <v>1.1499999999999999</v>
      </c>
      <c r="N22" s="16">
        <f t="shared" si="3"/>
        <v>50.38</v>
      </c>
      <c r="O22" s="16">
        <f t="shared" si="4"/>
        <v>4.53</v>
      </c>
      <c r="P22" s="33">
        <f>+C22</f>
        <v>2500</v>
      </c>
      <c r="Q22" s="36">
        <f t="shared" si="11"/>
        <v>2495.4699999999998</v>
      </c>
      <c r="R22" s="36">
        <f>+P22-C22</f>
        <v>0</v>
      </c>
      <c r="S22" s="37">
        <f t="shared" si="5"/>
        <v>15.4699999999998</v>
      </c>
      <c r="T22" s="16">
        <v>665.66666666665992</v>
      </c>
    </row>
    <row r="23" spans="1:20" ht="15.6">
      <c r="A23" s="29" t="s">
        <v>35</v>
      </c>
      <c r="B23" s="34" t="s">
        <v>37</v>
      </c>
      <c r="C23" s="29">
        <f>+D22</f>
        <v>2480</v>
      </c>
      <c r="D23" s="34">
        <v>2463</v>
      </c>
      <c r="E23" s="3">
        <f>10+2</f>
        <v>12</v>
      </c>
      <c r="F23" s="3">
        <f t="shared" si="0"/>
        <v>0.14000000000000001</v>
      </c>
      <c r="G23" s="15">
        <f>+F23</f>
        <v>0.14000000000000001</v>
      </c>
      <c r="H23" s="16">
        <v>40</v>
      </c>
      <c r="I23" s="16">
        <f>+(C23-D23+S22)*1000/H23</f>
        <v>811.749999999995</v>
      </c>
      <c r="J23" s="16">
        <f t="shared" si="10"/>
        <v>0.34039970789250928</v>
      </c>
      <c r="K23" s="24">
        <v>0.75</v>
      </c>
      <c r="L23" s="5">
        <f t="shared" si="1"/>
        <v>22.9</v>
      </c>
      <c r="M23" s="25">
        <f t="shared" si="2"/>
        <v>0.34</v>
      </c>
      <c r="N23" s="16">
        <f t="shared" si="3"/>
        <v>7.07</v>
      </c>
      <c r="O23" s="16">
        <f t="shared" si="4"/>
        <v>0.28000000000000003</v>
      </c>
      <c r="P23" s="33">
        <f>+Q22</f>
        <v>2495.4699999999998</v>
      </c>
      <c r="Q23" s="36">
        <f t="shared" si="11"/>
        <v>2495.1899999999996</v>
      </c>
      <c r="R23" s="32">
        <f>+S22</f>
        <v>15.4699999999998</v>
      </c>
      <c r="S23" s="37">
        <f t="shared" si="5"/>
        <v>32.1899999999996</v>
      </c>
      <c r="T23" s="16">
        <v>761.749999999995</v>
      </c>
    </row>
    <row r="24" spans="1:20" ht="15.6">
      <c r="A24" s="29" t="s">
        <v>35</v>
      </c>
      <c r="B24" s="34" t="s">
        <v>34</v>
      </c>
      <c r="C24" s="29">
        <f>+C23</f>
        <v>2480</v>
      </c>
      <c r="D24" s="34">
        <v>2467</v>
      </c>
      <c r="E24" s="3">
        <f>15+10</f>
        <v>25</v>
      </c>
      <c r="F24" s="3">
        <f>ROUND(E24*$Q$8*$I$8,3)</f>
        <v>0.29099999999999998</v>
      </c>
      <c r="G24" s="15">
        <f>+F24</f>
        <v>0.29099999999999998</v>
      </c>
      <c r="H24" s="16">
        <v>115</v>
      </c>
      <c r="I24" s="16">
        <f>+(C24-D24+S22)*1000/H24</f>
        <v>247.56521739130261</v>
      </c>
      <c r="J24" s="16">
        <f t="shared" si="10"/>
        <v>0.57372560686808716</v>
      </c>
      <c r="K24" s="24">
        <v>0.75</v>
      </c>
      <c r="L24" s="5">
        <f t="shared" si="1"/>
        <v>22.9</v>
      </c>
      <c r="M24" s="25">
        <f t="shared" si="2"/>
        <v>0.71</v>
      </c>
      <c r="N24" s="16">
        <f t="shared" si="3"/>
        <v>27.4</v>
      </c>
      <c r="O24" s="16">
        <f t="shared" si="4"/>
        <v>3.15</v>
      </c>
      <c r="P24" s="33">
        <f>+P23</f>
        <v>2495.4699999999998</v>
      </c>
      <c r="Q24" s="36">
        <f t="shared" si="11"/>
        <v>2492.3199999999997</v>
      </c>
      <c r="R24" s="32">
        <f>+R23</f>
        <v>15.4699999999998</v>
      </c>
      <c r="S24" s="37">
        <f t="shared" si="5"/>
        <v>25.319999999999709</v>
      </c>
      <c r="T24" s="16">
        <v>227.73913043477913</v>
      </c>
    </row>
    <row r="25" spans="1:20" ht="15.6">
      <c r="A25" s="31"/>
      <c r="B25" s="34"/>
      <c r="C25" s="29"/>
      <c r="D25" s="34"/>
      <c r="E25" s="3">
        <f>SUM(E13:E24)</f>
        <v>147</v>
      </c>
      <c r="F25" s="3"/>
      <c r="G25" s="15"/>
      <c r="H25" s="16"/>
      <c r="I25" s="16"/>
      <c r="J25" s="16"/>
      <c r="K25" s="17"/>
      <c r="L25" s="5"/>
      <c r="M25" s="16"/>
      <c r="N25" s="18"/>
      <c r="O25" s="15"/>
      <c r="P25" s="33"/>
      <c r="Q25" s="36"/>
      <c r="R25" s="32"/>
      <c r="S25" s="37"/>
      <c r="T25" s="6"/>
    </row>
    <row r="26" spans="1:20" ht="15.6">
      <c r="A26" s="31"/>
      <c r="B26" s="34"/>
      <c r="C26" s="29"/>
      <c r="D26" s="34"/>
      <c r="E26" s="3"/>
      <c r="F26" s="3"/>
      <c r="G26" s="3"/>
      <c r="H26" s="16"/>
      <c r="I26" s="16"/>
      <c r="J26" s="16"/>
      <c r="K26" s="17"/>
      <c r="L26" s="5"/>
      <c r="M26" s="16"/>
      <c r="N26" s="18"/>
      <c r="O26" s="15"/>
      <c r="P26" s="33"/>
      <c r="Q26" s="36"/>
      <c r="R26" s="32"/>
      <c r="S26" s="37"/>
      <c r="T26" s="6"/>
    </row>
    <row r="27" spans="1:20" ht="15.6">
      <c r="A27" s="31"/>
      <c r="B27" s="34"/>
      <c r="C27" s="29"/>
      <c r="D27" s="34"/>
      <c r="E27" s="3"/>
      <c r="F27" s="3"/>
      <c r="G27" s="3"/>
      <c r="H27" s="16"/>
      <c r="I27" s="16"/>
      <c r="J27" s="16"/>
      <c r="K27" s="17"/>
      <c r="L27" s="5"/>
      <c r="M27" s="16"/>
      <c r="N27" s="18"/>
      <c r="O27" s="15"/>
      <c r="P27" s="33"/>
      <c r="Q27" s="36"/>
      <c r="R27" s="32"/>
      <c r="S27" s="37"/>
      <c r="T27" s="6"/>
    </row>
    <row r="28" spans="1:20" ht="15.6">
      <c r="A28" s="31"/>
      <c r="B28" s="34"/>
      <c r="C28" s="29"/>
      <c r="D28" s="34"/>
      <c r="E28" s="3"/>
      <c r="F28" s="3"/>
      <c r="G28" s="3"/>
      <c r="H28" s="16"/>
      <c r="I28" s="16"/>
      <c r="J28" s="16"/>
      <c r="K28" s="17"/>
      <c r="L28" s="5"/>
      <c r="M28" s="16"/>
      <c r="N28" s="18"/>
      <c r="O28" s="15"/>
      <c r="P28" s="33"/>
      <c r="Q28" s="36"/>
      <c r="R28" s="32"/>
      <c r="S28" s="37"/>
      <c r="T28" s="6"/>
    </row>
    <row r="29" spans="1:20" ht="15.6">
      <c r="A29" s="31"/>
      <c r="B29" s="34"/>
      <c r="C29" s="29"/>
      <c r="D29" s="34"/>
      <c r="E29" s="3"/>
      <c r="F29" s="3"/>
      <c r="G29" s="15"/>
      <c r="H29" s="16"/>
      <c r="I29" s="16"/>
      <c r="J29" s="16"/>
      <c r="K29" s="17"/>
      <c r="L29" s="5"/>
      <c r="M29" s="16"/>
      <c r="N29" s="18"/>
      <c r="O29" s="15"/>
      <c r="P29" s="33"/>
      <c r="Q29" s="36"/>
      <c r="R29" s="32"/>
      <c r="S29" s="37"/>
      <c r="T29" s="6"/>
    </row>
    <row r="30" spans="1:20" ht="15.6">
      <c r="A30" s="31"/>
      <c r="B30" s="34"/>
      <c r="C30" s="29"/>
      <c r="D30" s="34"/>
      <c r="E30" s="3"/>
      <c r="F30" s="3"/>
      <c r="G30" s="15"/>
      <c r="H30" s="16"/>
      <c r="I30" s="16"/>
      <c r="J30" s="16"/>
      <c r="K30" s="17"/>
      <c r="L30" s="5"/>
      <c r="M30" s="16"/>
      <c r="N30" s="18"/>
      <c r="O30" s="15"/>
      <c r="P30" s="33"/>
      <c r="Q30" s="36"/>
      <c r="R30" s="32"/>
      <c r="S30" s="37"/>
      <c r="T30" s="6"/>
    </row>
    <row r="31" spans="1:20" ht="15.6">
      <c r="A31" s="31"/>
      <c r="B31" s="34"/>
      <c r="C31" s="29"/>
      <c r="D31" s="34"/>
      <c r="E31" s="3"/>
      <c r="F31" s="3"/>
      <c r="G31" s="15"/>
      <c r="H31" s="16"/>
      <c r="I31" s="16"/>
      <c r="J31" s="16"/>
      <c r="K31" s="17"/>
      <c r="L31" s="5"/>
      <c r="M31" s="16"/>
      <c r="N31" s="18"/>
      <c r="O31" s="15"/>
      <c r="P31" s="33"/>
      <c r="Q31" s="36"/>
      <c r="R31" s="32"/>
      <c r="S31" s="37"/>
      <c r="T31" s="6"/>
    </row>
    <row r="32" spans="1:20" ht="15.6">
      <c r="A32" s="31"/>
      <c r="B32" s="34"/>
      <c r="C32" s="29"/>
      <c r="D32" s="34"/>
      <c r="E32" s="3"/>
      <c r="F32" s="3"/>
      <c r="G32" s="15"/>
      <c r="H32" s="16"/>
      <c r="I32" s="16"/>
      <c r="J32" s="16"/>
      <c r="K32" s="17"/>
      <c r="L32" s="5"/>
      <c r="M32" s="16"/>
      <c r="N32" s="18"/>
      <c r="O32" s="15"/>
      <c r="P32" s="33"/>
      <c r="Q32" s="36"/>
      <c r="R32" s="32"/>
      <c r="S32" s="37"/>
      <c r="T32" s="6"/>
    </row>
    <row r="33" spans="1:32" ht="15.6">
      <c r="A33" s="31"/>
      <c r="B33" s="34"/>
      <c r="C33" s="29"/>
      <c r="D33" s="34"/>
      <c r="E33" s="3"/>
      <c r="F33" s="3"/>
      <c r="G33" s="3"/>
      <c r="H33" s="16"/>
      <c r="I33" s="16"/>
      <c r="J33" s="16"/>
      <c r="K33" s="17"/>
      <c r="L33" s="5"/>
      <c r="M33" s="16"/>
      <c r="N33" s="18"/>
      <c r="O33" s="15"/>
      <c r="P33" s="33"/>
      <c r="Q33" s="36"/>
      <c r="R33" s="32"/>
      <c r="S33" s="37"/>
      <c r="T33" s="6"/>
    </row>
    <row r="34" spans="1:32" ht="15.6">
      <c r="A34" s="31"/>
      <c r="B34" s="34"/>
      <c r="C34" s="29"/>
      <c r="D34" s="34"/>
      <c r="E34" s="3"/>
      <c r="F34" s="3"/>
      <c r="G34" s="3"/>
      <c r="H34" s="16"/>
      <c r="I34" s="16"/>
      <c r="J34" s="16"/>
      <c r="K34" s="17"/>
      <c r="L34" s="5"/>
      <c r="M34" s="16"/>
      <c r="N34" s="18"/>
      <c r="O34" s="15"/>
      <c r="P34" s="33"/>
      <c r="Q34" s="36"/>
      <c r="R34" s="32"/>
      <c r="S34" s="37"/>
      <c r="T34" s="6"/>
    </row>
    <row r="35" spans="1:32" ht="15.6">
      <c r="A35" s="31"/>
      <c r="B35" s="34"/>
      <c r="C35" s="29"/>
      <c r="D35" s="34"/>
      <c r="E35" s="3"/>
      <c r="F35" s="3"/>
      <c r="G35" s="15"/>
      <c r="H35" s="16"/>
      <c r="I35" s="16"/>
      <c r="J35" s="16"/>
      <c r="K35" s="17"/>
      <c r="L35" s="5"/>
      <c r="M35" s="16"/>
      <c r="N35" s="18"/>
      <c r="O35" s="15"/>
      <c r="P35" s="33"/>
      <c r="Q35" s="36"/>
      <c r="R35" s="32"/>
      <c r="S35" s="37"/>
      <c r="T35" s="6"/>
    </row>
    <row r="36" spans="1:32" ht="15.6">
      <c r="A36" s="31"/>
      <c r="B36" s="34"/>
      <c r="C36" s="29"/>
      <c r="D36" s="34"/>
      <c r="E36" s="3"/>
      <c r="F36" s="3"/>
      <c r="G36" s="15"/>
      <c r="H36" s="16"/>
      <c r="I36" s="16"/>
      <c r="J36" s="16"/>
      <c r="K36" s="17"/>
      <c r="L36" s="5"/>
      <c r="M36" s="16"/>
      <c r="N36" s="18"/>
      <c r="O36" s="15"/>
      <c r="P36" s="33"/>
      <c r="Q36" s="36"/>
      <c r="R36" s="32"/>
      <c r="S36" s="37"/>
      <c r="T36" s="6"/>
    </row>
    <row r="37" spans="1:32" ht="15.6">
      <c r="A37" s="31"/>
      <c r="B37" s="34"/>
      <c r="C37" s="29"/>
      <c r="D37" s="34"/>
      <c r="E37" s="3"/>
      <c r="F37" s="3"/>
      <c r="G37" s="3"/>
      <c r="H37" s="16"/>
      <c r="I37" s="16"/>
      <c r="J37" s="16"/>
      <c r="K37" s="17"/>
      <c r="L37" s="5"/>
      <c r="M37" s="16"/>
      <c r="N37" s="18"/>
      <c r="O37" s="15"/>
      <c r="P37" s="33"/>
      <c r="Q37" s="36"/>
      <c r="R37" s="32"/>
      <c r="S37" s="37"/>
      <c r="T37" s="6"/>
      <c r="AC37">
        <f t="shared" ref="AC37:AC49" si="12">IF(K37=1,H37,0)</f>
        <v>0</v>
      </c>
      <c r="AD37">
        <f t="shared" ref="AD37:AD49" si="13">IF(K37=1.5,H37,0)</f>
        <v>0</v>
      </c>
      <c r="AE37">
        <f t="shared" ref="AE37:AE49" si="14">IF(K37=0.75,H37,0)</f>
        <v>0</v>
      </c>
      <c r="AF37">
        <f t="shared" ref="AF37:AF49" si="15">IF(K37=0.5,H37,0)</f>
        <v>0</v>
      </c>
    </row>
    <row r="38" spans="1:32" ht="15.6">
      <c r="A38" s="1"/>
      <c r="B38" s="2"/>
      <c r="C38" s="2"/>
      <c r="D38" s="2"/>
      <c r="E38" s="3"/>
      <c r="F38" s="3"/>
      <c r="G38" s="3"/>
      <c r="H38" s="16"/>
      <c r="I38" s="16"/>
      <c r="J38" s="16"/>
      <c r="K38" s="17"/>
      <c r="L38" s="5"/>
      <c r="M38" s="16"/>
      <c r="N38" s="18"/>
      <c r="O38" s="15"/>
      <c r="P38" s="19"/>
      <c r="Q38" s="20"/>
      <c r="R38" s="21"/>
      <c r="S38" s="22"/>
      <c r="T38" s="6"/>
      <c r="V38" s="7"/>
      <c r="AC38">
        <f t="shared" si="12"/>
        <v>0</v>
      </c>
      <c r="AD38">
        <f t="shared" si="13"/>
        <v>0</v>
      </c>
      <c r="AE38">
        <f t="shared" si="14"/>
        <v>0</v>
      </c>
      <c r="AF38">
        <f t="shared" si="15"/>
        <v>0</v>
      </c>
    </row>
    <row r="39" spans="1:32" ht="15.6">
      <c r="A39" s="1"/>
      <c r="B39" s="2"/>
      <c r="C39" s="2"/>
      <c r="D39" s="2"/>
      <c r="E39" s="3"/>
      <c r="F39" s="3"/>
      <c r="G39" s="3"/>
      <c r="H39" s="16"/>
      <c r="I39" s="16"/>
      <c r="J39" s="16"/>
      <c r="K39" s="17"/>
      <c r="L39" s="5"/>
      <c r="M39" s="16"/>
      <c r="N39" s="18"/>
      <c r="O39" s="15"/>
      <c r="P39" s="19"/>
      <c r="Q39" s="20"/>
      <c r="R39" s="21"/>
      <c r="S39" s="22"/>
      <c r="T39" s="6"/>
      <c r="V39" s="7"/>
      <c r="AC39">
        <f t="shared" si="12"/>
        <v>0</v>
      </c>
      <c r="AD39">
        <f t="shared" si="13"/>
        <v>0</v>
      </c>
      <c r="AE39">
        <f t="shared" si="14"/>
        <v>0</v>
      </c>
      <c r="AF39">
        <f t="shared" si="15"/>
        <v>0</v>
      </c>
    </row>
    <row r="40" spans="1:32" ht="15.6">
      <c r="A40" s="1"/>
      <c r="B40" s="2"/>
      <c r="C40" s="2"/>
      <c r="D40" s="2"/>
      <c r="E40" s="3"/>
      <c r="F40" s="3"/>
      <c r="G40" s="3"/>
      <c r="H40" s="16"/>
      <c r="I40" s="16"/>
      <c r="J40" s="16"/>
      <c r="K40" s="17"/>
      <c r="L40" s="5"/>
      <c r="M40" s="16"/>
      <c r="N40" s="18"/>
      <c r="O40" s="15"/>
      <c r="P40" s="19"/>
      <c r="Q40" s="20"/>
      <c r="R40" s="21"/>
      <c r="S40" s="22"/>
      <c r="T40" s="6"/>
      <c r="V40" s="7"/>
      <c r="AC40">
        <f t="shared" si="12"/>
        <v>0</v>
      </c>
      <c r="AD40">
        <f t="shared" si="13"/>
        <v>0</v>
      </c>
      <c r="AE40">
        <f t="shared" si="14"/>
        <v>0</v>
      </c>
      <c r="AF40">
        <f t="shared" si="15"/>
        <v>0</v>
      </c>
    </row>
    <row r="41" spans="1:32" ht="15.6">
      <c r="A41" s="4"/>
      <c r="B41" s="23"/>
      <c r="C41" s="23"/>
      <c r="D41" s="23"/>
      <c r="E41" s="3"/>
      <c r="F41" s="3"/>
      <c r="G41" s="3"/>
      <c r="H41" s="16"/>
      <c r="I41" s="16"/>
      <c r="J41" s="16"/>
      <c r="K41" s="17"/>
      <c r="L41" s="5"/>
      <c r="M41" s="16"/>
      <c r="N41" s="18"/>
      <c r="O41" s="15"/>
      <c r="P41" s="19"/>
      <c r="Q41" s="20"/>
      <c r="R41" s="21"/>
      <c r="S41" s="22"/>
      <c r="T41" s="6"/>
      <c r="V41" s="7"/>
      <c r="AC41">
        <f t="shared" si="12"/>
        <v>0</v>
      </c>
      <c r="AD41">
        <f t="shared" si="13"/>
        <v>0</v>
      </c>
      <c r="AE41">
        <f t="shared" si="14"/>
        <v>0</v>
      </c>
      <c r="AF41">
        <f t="shared" si="15"/>
        <v>0</v>
      </c>
    </row>
    <row r="42" spans="1:32" ht="15.6">
      <c r="A42" s="1"/>
      <c r="B42" s="2"/>
      <c r="C42" s="2"/>
      <c r="D42" s="2"/>
      <c r="E42" s="3"/>
      <c r="F42" s="3"/>
      <c r="G42" s="3"/>
      <c r="H42" s="16"/>
      <c r="I42" s="16"/>
      <c r="J42" s="16"/>
      <c r="K42" s="17"/>
      <c r="L42" s="5"/>
      <c r="M42" s="16"/>
      <c r="N42" s="18"/>
      <c r="O42" s="15"/>
      <c r="P42" s="19"/>
      <c r="Q42" s="20"/>
      <c r="R42" s="21"/>
      <c r="S42" s="22"/>
      <c r="T42" s="6"/>
      <c r="V42" s="7"/>
      <c r="AC42">
        <f t="shared" si="12"/>
        <v>0</v>
      </c>
      <c r="AD42">
        <f t="shared" si="13"/>
        <v>0</v>
      </c>
      <c r="AE42">
        <f t="shared" si="14"/>
        <v>0</v>
      </c>
      <c r="AF42">
        <f t="shared" si="15"/>
        <v>0</v>
      </c>
    </row>
    <row r="43" spans="1:32" ht="15.6">
      <c r="A43" s="1"/>
      <c r="B43" s="2"/>
      <c r="C43" s="2"/>
      <c r="D43" s="2"/>
      <c r="E43" s="3"/>
      <c r="F43" s="3"/>
      <c r="G43" s="15"/>
      <c r="H43" s="16"/>
      <c r="I43" s="16"/>
      <c r="J43" s="16"/>
      <c r="K43" s="17"/>
      <c r="L43" s="5"/>
      <c r="M43" s="16"/>
      <c r="N43" s="18"/>
      <c r="O43" s="15"/>
      <c r="P43" s="19"/>
      <c r="Q43" s="20"/>
      <c r="R43" s="21"/>
      <c r="S43" s="22"/>
      <c r="V43" s="7"/>
      <c r="AC43">
        <f t="shared" si="12"/>
        <v>0</v>
      </c>
      <c r="AD43">
        <f t="shared" si="13"/>
        <v>0</v>
      </c>
      <c r="AE43">
        <f t="shared" si="14"/>
        <v>0</v>
      </c>
      <c r="AF43">
        <f t="shared" si="15"/>
        <v>0</v>
      </c>
    </row>
    <row r="44" spans="1:32" ht="15.6">
      <c r="A44" s="1"/>
      <c r="B44" s="2"/>
      <c r="C44" s="2"/>
      <c r="D44" s="2"/>
      <c r="E44" s="3"/>
      <c r="F44" s="3"/>
      <c r="G44" s="3"/>
      <c r="H44" s="16"/>
      <c r="I44" s="16"/>
      <c r="J44" s="16"/>
      <c r="K44" s="17"/>
      <c r="L44" s="5"/>
      <c r="M44" s="16"/>
      <c r="N44" s="18"/>
      <c r="O44" s="15"/>
      <c r="P44" s="19"/>
      <c r="Q44" s="20"/>
      <c r="R44" s="21"/>
      <c r="S44" s="22"/>
      <c r="AC44">
        <f t="shared" si="12"/>
        <v>0</v>
      </c>
      <c r="AD44">
        <f t="shared" si="13"/>
        <v>0</v>
      </c>
      <c r="AE44">
        <f t="shared" si="14"/>
        <v>0</v>
      </c>
      <c r="AF44">
        <f t="shared" si="15"/>
        <v>0</v>
      </c>
    </row>
    <row r="45" spans="1:32" ht="15.6">
      <c r="A45" s="1"/>
      <c r="B45" s="2"/>
      <c r="C45" s="2"/>
      <c r="D45" s="2"/>
      <c r="E45" s="3"/>
      <c r="F45" s="3"/>
      <c r="G45" s="15"/>
      <c r="H45" s="16"/>
      <c r="I45" s="16"/>
      <c r="J45" s="16"/>
      <c r="K45" s="17"/>
      <c r="L45" s="5"/>
      <c r="M45" s="16"/>
      <c r="N45" s="18"/>
      <c r="O45" s="15"/>
      <c r="P45" s="19"/>
      <c r="Q45" s="20"/>
      <c r="R45" s="21"/>
      <c r="S45" s="22"/>
      <c r="AC45">
        <f t="shared" si="12"/>
        <v>0</v>
      </c>
      <c r="AD45">
        <f t="shared" si="13"/>
        <v>0</v>
      </c>
      <c r="AE45">
        <f t="shared" si="14"/>
        <v>0</v>
      </c>
      <c r="AF45">
        <f t="shared" si="15"/>
        <v>0</v>
      </c>
    </row>
    <row r="46" spans="1:32" ht="15.6">
      <c r="A46" s="1"/>
      <c r="B46" s="2"/>
      <c r="C46" s="2"/>
      <c r="D46" s="2"/>
      <c r="E46" s="3"/>
      <c r="F46" s="3"/>
      <c r="G46" s="3"/>
      <c r="H46" s="16"/>
      <c r="I46" s="16"/>
      <c r="J46" s="16"/>
      <c r="K46" s="17"/>
      <c r="L46" s="5"/>
      <c r="M46" s="16"/>
      <c r="N46" s="18"/>
      <c r="O46" s="15"/>
      <c r="P46" s="19"/>
      <c r="Q46" s="20"/>
      <c r="R46" s="21"/>
      <c r="S46" s="22"/>
      <c r="AC46">
        <f t="shared" si="12"/>
        <v>0</v>
      </c>
      <c r="AD46">
        <f t="shared" si="13"/>
        <v>0</v>
      </c>
      <c r="AE46">
        <f t="shared" si="14"/>
        <v>0</v>
      </c>
      <c r="AF46">
        <f t="shared" si="15"/>
        <v>0</v>
      </c>
    </row>
    <row r="47" spans="1:32" ht="15.6">
      <c r="A47" s="1"/>
      <c r="B47" s="2"/>
      <c r="C47" s="2"/>
      <c r="D47" s="2"/>
      <c r="E47" s="3"/>
      <c r="F47" s="3"/>
      <c r="G47" s="3"/>
      <c r="H47" s="16"/>
      <c r="I47" s="16"/>
      <c r="J47" s="16"/>
      <c r="K47" s="17"/>
      <c r="L47" s="5"/>
      <c r="M47" s="16"/>
      <c r="N47" s="18"/>
      <c r="O47" s="15"/>
      <c r="P47" s="19"/>
      <c r="Q47" s="20"/>
      <c r="R47" s="21"/>
      <c r="S47" s="22"/>
      <c r="AC47">
        <f t="shared" si="12"/>
        <v>0</v>
      </c>
      <c r="AD47">
        <f t="shared" si="13"/>
        <v>0</v>
      </c>
      <c r="AE47">
        <f t="shared" si="14"/>
        <v>0</v>
      </c>
      <c r="AF47">
        <f t="shared" si="15"/>
        <v>0</v>
      </c>
    </row>
    <row r="48" spans="1:32" ht="15.6">
      <c r="A48" s="1"/>
      <c r="B48" s="2"/>
      <c r="C48" s="2"/>
      <c r="D48" s="2"/>
      <c r="E48" s="3"/>
      <c r="F48" s="3"/>
      <c r="G48" s="3"/>
      <c r="H48" s="16"/>
      <c r="I48" s="16"/>
      <c r="J48" s="16"/>
      <c r="K48" s="17"/>
      <c r="L48" s="5"/>
      <c r="M48" s="16"/>
      <c r="N48" s="18"/>
      <c r="O48" s="15"/>
      <c r="P48" s="19"/>
      <c r="Q48" s="20"/>
      <c r="R48" s="21"/>
      <c r="S48" s="22"/>
      <c r="AC48">
        <f t="shared" si="12"/>
        <v>0</v>
      </c>
      <c r="AD48">
        <f t="shared" si="13"/>
        <v>0</v>
      </c>
      <c r="AE48">
        <f t="shared" si="14"/>
        <v>0</v>
      </c>
      <c r="AF48">
        <f t="shared" si="15"/>
        <v>0</v>
      </c>
    </row>
    <row r="49" spans="1:32" ht="15.6">
      <c r="A49" s="1"/>
      <c r="B49" s="2"/>
      <c r="C49" s="2"/>
      <c r="D49" s="2"/>
      <c r="E49" s="3"/>
      <c r="F49" s="3"/>
      <c r="G49" s="3"/>
      <c r="H49" s="16"/>
      <c r="I49" s="16"/>
      <c r="J49" s="16"/>
      <c r="K49" s="17"/>
      <c r="L49" s="5"/>
      <c r="M49" s="16"/>
      <c r="N49" s="18"/>
      <c r="O49" s="15"/>
      <c r="P49" s="19"/>
      <c r="Q49" s="20"/>
      <c r="R49" s="21"/>
      <c r="S49" s="22"/>
      <c r="AC49">
        <f t="shared" si="12"/>
        <v>0</v>
      </c>
      <c r="AD49">
        <f t="shared" si="13"/>
        <v>0</v>
      </c>
      <c r="AE49">
        <f t="shared" si="14"/>
        <v>0</v>
      </c>
      <c r="AF49">
        <f t="shared" si="15"/>
        <v>0</v>
      </c>
    </row>
    <row r="51" spans="1:32">
      <c r="X51">
        <f>SUM(AC13:AC49)</f>
        <v>0</v>
      </c>
      <c r="Y51">
        <f>SUM(AD13:AD49)</f>
        <v>0</v>
      </c>
      <c r="Z51">
        <f>SUM(AE13:AE49)</f>
        <v>0</v>
      </c>
      <c r="AA51">
        <f>SUM(AF13:AF49)</f>
        <v>0</v>
      </c>
    </row>
    <row r="52" spans="1:32">
      <c r="X52">
        <f>X51/5.03</f>
        <v>0</v>
      </c>
      <c r="Y52">
        <f t="shared" ref="Y52:AA52" si="16">Y51/5.03</f>
        <v>0</v>
      </c>
      <c r="Z52">
        <f t="shared" si="16"/>
        <v>0</v>
      </c>
      <c r="AA52">
        <f t="shared" si="16"/>
        <v>0</v>
      </c>
    </row>
  </sheetData>
  <mergeCells count="4">
    <mergeCell ref="P11:Q11"/>
    <mergeCell ref="A2:S2"/>
    <mergeCell ref="A12:B12"/>
    <mergeCell ref="I8:J8"/>
  </mergeCells>
  <pageMargins left="0.75" right="0.47244094488188981" top="0.74803149606299213" bottom="0.74803149606299213" header="0.31496062992125984" footer="0.31496062992125984"/>
  <pageSetup paperSize="9" scale="74"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CD42-98BB-4336-A9D3-76B58999B0F1}">
  <sheetPr>
    <tabColor rgb="FF00B050"/>
  </sheetPr>
  <dimension ref="A2:AF52"/>
  <sheetViews>
    <sheetView view="pageBreakPreview" zoomScaleNormal="90" zoomScaleSheetLayoutView="100" workbookViewId="0">
      <selection activeCell="O15" sqref="O15"/>
    </sheetView>
  </sheetViews>
  <sheetFormatPr baseColWidth="10" defaultRowHeight="14.4"/>
  <cols>
    <col min="1" max="1" width="8.44140625" customWidth="1"/>
    <col min="2" max="2" width="8" style="8" customWidth="1"/>
    <col min="3" max="3" width="10.77734375" style="8" customWidth="1"/>
    <col min="4" max="4" width="9.21875" style="8" customWidth="1"/>
    <col min="5" max="5" width="9.44140625" style="8" customWidth="1"/>
    <col min="6" max="6" width="11.44140625" style="8" customWidth="1"/>
    <col min="7" max="7" width="9.21875" style="8" customWidth="1"/>
    <col min="8" max="8" width="9.109375" style="8" customWidth="1"/>
    <col min="9" max="9" width="8.44140625" style="8" bestFit="1" customWidth="1"/>
    <col min="10" max="10" width="7.6640625" style="8" bestFit="1" customWidth="1"/>
    <col min="11" max="11" width="11.109375" style="236" bestFit="1" customWidth="1"/>
    <col min="12" max="12" width="6.5546875" style="8" customWidth="1"/>
    <col min="13" max="13" width="10" style="8" customWidth="1"/>
    <col min="14" max="14" width="8.77734375" style="8" customWidth="1"/>
    <col min="15" max="15" width="8.33203125" style="8" customWidth="1"/>
    <col min="16" max="16" width="11.5546875" style="8"/>
    <col min="17" max="17" width="13.33203125" style="8" bestFit="1" customWidth="1"/>
    <col min="18" max="18" width="12.109375" style="8" customWidth="1"/>
    <col min="19" max="19" width="11.5546875" style="8" customWidth="1"/>
  </cols>
  <sheetData>
    <row r="2" spans="1:20" ht="25.8" customHeight="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</row>
    <row r="3" spans="1:20">
      <c r="E3" s="10" t="s">
        <v>4</v>
      </c>
      <c r="R3" s="11"/>
    </row>
    <row r="4" spans="1:20">
      <c r="P4" s="8" t="s">
        <v>29</v>
      </c>
      <c r="Q4" s="26">
        <v>731</v>
      </c>
      <c r="T4" s="6"/>
    </row>
    <row r="5" spans="1:20">
      <c r="N5" s="12"/>
      <c r="P5" s="8" t="s">
        <v>24</v>
      </c>
      <c r="Q5" s="27">
        <v>0.85</v>
      </c>
      <c r="T5">
        <f>+T4/H13</f>
        <v>0</v>
      </c>
    </row>
    <row r="6" spans="1:20">
      <c r="O6" s="13"/>
      <c r="P6" s="8" t="s">
        <v>25</v>
      </c>
      <c r="Q6" s="27">
        <f>0.85*1.3</f>
        <v>1.105</v>
      </c>
      <c r="R6" s="8" t="s">
        <v>27</v>
      </c>
    </row>
    <row r="7" spans="1:20">
      <c r="H7" s="14"/>
      <c r="I7" s="14"/>
      <c r="J7" s="14"/>
      <c r="K7" s="237"/>
      <c r="L7" s="14"/>
      <c r="P7" s="8" t="s">
        <v>26</v>
      </c>
      <c r="Q7" s="27">
        <f>+Q5*2</f>
        <v>1.7</v>
      </c>
      <c r="R7" s="8" t="s">
        <v>28</v>
      </c>
    </row>
    <row r="8" spans="1:20">
      <c r="E8" s="8" t="s">
        <v>5</v>
      </c>
      <c r="F8" s="8" t="s">
        <v>6</v>
      </c>
      <c r="H8" s="14" t="s">
        <v>22</v>
      </c>
      <c r="I8" s="226">
        <f>+Q7/Q4</f>
        <v>2.3255813953488372E-3</v>
      </c>
      <c r="J8" s="226"/>
      <c r="K8" s="237" t="s">
        <v>0</v>
      </c>
      <c r="N8" s="13" t="s">
        <v>47</v>
      </c>
      <c r="P8" s="8" t="s">
        <v>30</v>
      </c>
      <c r="Q8" s="225">
        <v>5</v>
      </c>
    </row>
    <row r="10" spans="1:20">
      <c r="F10" s="8" t="s">
        <v>9</v>
      </c>
      <c r="G10" s="8" t="s">
        <v>10</v>
      </c>
      <c r="H10" s="78" t="s">
        <v>11</v>
      </c>
      <c r="K10" s="236" t="s">
        <v>12</v>
      </c>
      <c r="L10" s="78" t="s">
        <v>13</v>
      </c>
      <c r="O10" s="13" t="s">
        <v>21</v>
      </c>
      <c r="P10" s="8">
        <v>150</v>
      </c>
      <c r="R10" s="8">
        <f>+Q4/Q8</f>
        <v>146.19999999999999</v>
      </c>
    </row>
    <row r="11" spans="1:20">
      <c r="P11" s="218" t="s">
        <v>14</v>
      </c>
      <c r="Q11" s="218"/>
      <c r="R11" s="9"/>
    </row>
    <row r="12" spans="1:20" ht="31.8" customHeight="1" thickBot="1">
      <c r="A12" s="223" t="s">
        <v>8</v>
      </c>
      <c r="B12" s="224"/>
      <c r="C12" s="46" t="s">
        <v>43</v>
      </c>
      <c r="D12" s="46" t="s">
        <v>44</v>
      </c>
      <c r="E12" s="47" t="s">
        <v>7</v>
      </c>
      <c r="F12" s="48" t="s">
        <v>17</v>
      </c>
      <c r="G12" s="235" t="s">
        <v>46</v>
      </c>
      <c r="H12" s="48" t="s">
        <v>18</v>
      </c>
      <c r="I12" s="48" t="s">
        <v>130</v>
      </c>
      <c r="J12" s="50" t="s">
        <v>45</v>
      </c>
      <c r="K12" s="238" t="s">
        <v>2</v>
      </c>
      <c r="L12" s="51" t="s">
        <v>23</v>
      </c>
      <c r="M12" s="49" t="s">
        <v>3</v>
      </c>
      <c r="N12" s="202" t="s">
        <v>131</v>
      </c>
      <c r="O12" s="53" t="s">
        <v>1</v>
      </c>
      <c r="P12" s="53" t="s">
        <v>20</v>
      </c>
      <c r="Q12" s="52" t="s">
        <v>15</v>
      </c>
      <c r="R12" s="52" t="s">
        <v>19</v>
      </c>
      <c r="S12" s="52" t="s">
        <v>16</v>
      </c>
    </row>
    <row r="13" spans="1:20" ht="16.2" thickBot="1">
      <c r="A13" s="65" t="s">
        <v>40</v>
      </c>
      <c r="B13" s="66" t="s">
        <v>31</v>
      </c>
      <c r="C13" s="29">
        <v>2550</v>
      </c>
      <c r="D13" s="34">
        <v>2527</v>
      </c>
      <c r="E13" s="3">
        <v>0</v>
      </c>
      <c r="F13" s="230">
        <f>ROUND(E13*$Q$8*$I$8,3)</f>
        <v>0</v>
      </c>
      <c r="G13" s="229">
        <f>+F13+G14+G19</f>
        <v>1.7110000000000001</v>
      </c>
      <c r="H13" s="231">
        <v>140</v>
      </c>
      <c r="I13" s="201">
        <f>((C13-D13)/H13)*1000</f>
        <v>164.28571428571428</v>
      </c>
      <c r="J13" s="16">
        <f>(G13/(0.0004264*$P$10*(I13^0.54)))^(1/2.63)</f>
        <v>1.2240562972554827</v>
      </c>
      <c r="K13" s="239">
        <v>1.5</v>
      </c>
      <c r="L13" s="67">
        <v>43.4</v>
      </c>
      <c r="M13" s="25">
        <f>ROUND((4*G13/1000)/(((L13/1000)^2)*3.1416),2)</f>
        <v>1.1599999999999999</v>
      </c>
      <c r="N13" s="16">
        <f>ROUND(((G13/(0.0004264*$P$10*((L13/25.4)^2.63)))^1.852),2)</f>
        <v>32.380000000000003</v>
      </c>
      <c r="O13" s="16">
        <f>ROUND(+H13*N13/1000,2)</f>
        <v>4.53</v>
      </c>
      <c r="P13" s="33">
        <f>+C13</f>
        <v>2550</v>
      </c>
      <c r="Q13" s="36">
        <f>+P13-O13</f>
        <v>2545.4699999999998</v>
      </c>
      <c r="R13" s="32">
        <f>P13-C13</f>
        <v>0</v>
      </c>
      <c r="S13" s="68">
        <f>Q13-D13</f>
        <v>18.4699999999998</v>
      </c>
      <c r="T13" s="6"/>
    </row>
    <row r="14" spans="1:20" ht="16.2" thickBot="1">
      <c r="A14" s="69" t="s">
        <v>31</v>
      </c>
      <c r="B14" s="34" t="s">
        <v>32</v>
      </c>
      <c r="C14" s="29">
        <f>+D13</f>
        <v>2527</v>
      </c>
      <c r="D14" s="34">
        <v>2512</v>
      </c>
      <c r="E14" s="3">
        <v>10</v>
      </c>
      <c r="F14" s="230">
        <f t="shared" ref="F14:F24" si="0">ROUND(E14*$Q$8*$I$8,3)</f>
        <v>0.11600000000000001</v>
      </c>
      <c r="G14" s="232">
        <f>+F14+G17+G15</f>
        <v>0.22200000000000003</v>
      </c>
      <c r="H14" s="231">
        <v>75</v>
      </c>
      <c r="I14" s="201">
        <f>+(C14-D14+S13)*1000/H14</f>
        <v>446.26666666666392</v>
      </c>
      <c r="J14" s="16">
        <f>(G14/(0.0004264*$P$10*(I14^0.54)))^(1/2.63)</f>
        <v>0.45863692591029304</v>
      </c>
      <c r="K14" s="239">
        <v>0.75</v>
      </c>
      <c r="L14" s="5">
        <v>22.9</v>
      </c>
      <c r="M14" s="25">
        <f>ROUND((4*G14/1000)/(((L14/1000)^2)*3.1416),2)</f>
        <v>0.54</v>
      </c>
      <c r="N14" s="16">
        <f>ROUND(((G14/(0.0004264*$P$10*((L14/25.4)^2.63)))^1.852),2)</f>
        <v>16.600000000000001</v>
      </c>
      <c r="O14" s="16">
        <f>H14*N14/1000</f>
        <v>1.2450000000000001</v>
      </c>
      <c r="P14" s="33"/>
      <c r="Q14" s="36"/>
      <c r="R14" s="32"/>
      <c r="S14" s="70"/>
      <c r="T14" s="6"/>
    </row>
    <row r="15" spans="1:20" ht="16.2" thickBot="1">
      <c r="A15" s="69" t="s">
        <v>32</v>
      </c>
      <c r="B15" s="34" t="s">
        <v>127</v>
      </c>
      <c r="C15" s="29">
        <f>+D14</f>
        <v>2512</v>
      </c>
      <c r="D15" s="34">
        <v>2500</v>
      </c>
      <c r="E15" s="3">
        <v>4</v>
      </c>
      <c r="F15" s="230">
        <f t="shared" si="0"/>
        <v>4.7E-2</v>
      </c>
      <c r="G15" s="232">
        <f>+F15+G16</f>
        <v>8.2000000000000003E-2</v>
      </c>
      <c r="H15" s="231">
        <v>50</v>
      </c>
      <c r="I15" s="201">
        <f>+(C15-D15+S14)*1000/H15</f>
        <v>240</v>
      </c>
      <c r="J15" s="16">
        <f t="shared" ref="J15:J24" si="1">(G15/(0.0004264*$P$10*(I15^0.54)))^(1/2.63)</f>
        <v>0.3567106647431092</v>
      </c>
      <c r="K15" s="239">
        <v>0.75</v>
      </c>
      <c r="L15" s="5"/>
      <c r="M15" s="25"/>
      <c r="N15" s="16"/>
      <c r="O15" s="16"/>
      <c r="P15" s="33"/>
      <c r="Q15" s="36"/>
      <c r="R15" s="32"/>
      <c r="S15" s="70"/>
      <c r="T15" s="6"/>
    </row>
    <row r="16" spans="1:20" ht="16.2" thickBot="1">
      <c r="A16" s="71" t="s">
        <v>127</v>
      </c>
      <c r="B16" s="34" t="s">
        <v>36</v>
      </c>
      <c r="C16" s="29">
        <v>2500</v>
      </c>
      <c r="D16" s="34">
        <v>2487</v>
      </c>
      <c r="E16" s="3">
        <v>3</v>
      </c>
      <c r="F16" s="230">
        <f t="shared" si="0"/>
        <v>3.5000000000000003E-2</v>
      </c>
      <c r="G16" s="232">
        <f>+F16</f>
        <v>3.5000000000000003E-2</v>
      </c>
      <c r="H16" s="231">
        <v>50</v>
      </c>
      <c r="I16" s="201">
        <f>+(C16-D16)*1000/H16</f>
        <v>260</v>
      </c>
      <c r="J16" s="16">
        <f t="shared" si="1"/>
        <v>0.25385800775540734</v>
      </c>
      <c r="K16" s="239">
        <v>0.75</v>
      </c>
      <c r="L16" s="5"/>
      <c r="M16" s="25"/>
      <c r="N16" s="16"/>
      <c r="O16" s="16"/>
      <c r="P16" s="33"/>
      <c r="Q16" s="36"/>
      <c r="R16" s="32"/>
      <c r="S16" s="70"/>
      <c r="T16" s="6"/>
    </row>
    <row r="17" spans="1:20" ht="16.2" thickBot="1">
      <c r="A17" s="69" t="s">
        <v>32</v>
      </c>
      <c r="B17" s="34" t="s">
        <v>128</v>
      </c>
      <c r="C17" s="29">
        <v>2512</v>
      </c>
      <c r="D17" s="34">
        <v>2500</v>
      </c>
      <c r="E17" s="3">
        <v>1</v>
      </c>
      <c r="F17" s="230">
        <f t="shared" si="0"/>
        <v>1.2E-2</v>
      </c>
      <c r="G17" s="232">
        <f>+F17+G18</f>
        <v>2.4E-2</v>
      </c>
      <c r="H17" s="231">
        <v>50</v>
      </c>
      <c r="I17" s="201">
        <f>+(C17-D17+S14)*1000/H17</f>
        <v>240</v>
      </c>
      <c r="J17" s="16">
        <f t="shared" si="1"/>
        <v>0.22357609545640386</v>
      </c>
      <c r="K17" s="239">
        <v>0.75</v>
      </c>
      <c r="L17" s="5"/>
      <c r="M17" s="25"/>
      <c r="N17" s="16"/>
      <c r="O17" s="16"/>
      <c r="P17" s="33"/>
      <c r="Q17" s="36"/>
      <c r="R17" s="32"/>
      <c r="S17" s="70"/>
      <c r="T17" s="6"/>
    </row>
    <row r="18" spans="1:20" ht="16.2" thickBot="1">
      <c r="A18" s="71" t="s">
        <v>128</v>
      </c>
      <c r="B18" s="34" t="s">
        <v>33</v>
      </c>
      <c r="C18" s="29">
        <v>2500</v>
      </c>
      <c r="D18" s="34">
        <v>2492</v>
      </c>
      <c r="E18" s="3">
        <v>1</v>
      </c>
      <c r="F18" s="230">
        <f t="shared" si="0"/>
        <v>1.2E-2</v>
      </c>
      <c r="G18" s="232">
        <f>+F18</f>
        <v>1.2E-2</v>
      </c>
      <c r="H18" s="231">
        <v>30</v>
      </c>
      <c r="I18" s="201">
        <f>+(C18-D18+0)*1000/H18</f>
        <v>266.66666666666669</v>
      </c>
      <c r="J18" s="16">
        <f t="shared" si="1"/>
        <v>0.1681009697541232</v>
      </c>
      <c r="K18" s="239">
        <v>0.75</v>
      </c>
      <c r="L18" s="5"/>
      <c r="M18" s="25"/>
      <c r="N18" s="16"/>
      <c r="O18" s="16"/>
      <c r="P18" s="33"/>
      <c r="Q18" s="36"/>
      <c r="R18" s="32"/>
      <c r="S18" s="70"/>
      <c r="T18" s="6"/>
    </row>
    <row r="19" spans="1:20" ht="16.2" thickBot="1">
      <c r="A19" s="72" t="s">
        <v>31</v>
      </c>
      <c r="B19" s="35" t="s">
        <v>41</v>
      </c>
      <c r="C19" s="30">
        <f>+C14</f>
        <v>2527</v>
      </c>
      <c r="D19" s="35">
        <v>2500</v>
      </c>
      <c r="E19" s="3">
        <f>35+10</f>
        <v>45</v>
      </c>
      <c r="F19" s="230">
        <f>ROUND(E19*$Q$8*$I$8,3)</f>
        <v>0.52300000000000002</v>
      </c>
      <c r="G19" s="233">
        <f>+F19+G20+G21</f>
        <v>1.4890000000000001</v>
      </c>
      <c r="H19" s="231">
        <v>220</v>
      </c>
      <c r="I19" s="201">
        <f>+(C19-D19+S13)*1000/H19</f>
        <v>206.68181818181725</v>
      </c>
      <c r="J19" s="16">
        <f t="shared" si="1"/>
        <v>1.1075959895176506</v>
      </c>
      <c r="K19" s="239">
        <v>1.5</v>
      </c>
      <c r="L19" s="5"/>
      <c r="M19" s="25"/>
      <c r="N19" s="16"/>
      <c r="O19" s="16"/>
      <c r="P19" s="33"/>
      <c r="Q19" s="36"/>
      <c r="R19" s="32"/>
      <c r="S19" s="70"/>
      <c r="T19" s="6"/>
    </row>
    <row r="20" spans="1:20" ht="16.2" thickBot="1">
      <c r="A20" s="72" t="s">
        <v>41</v>
      </c>
      <c r="B20" s="35" t="s">
        <v>38</v>
      </c>
      <c r="C20" s="30">
        <f>+D19</f>
        <v>2500</v>
      </c>
      <c r="D20" s="35">
        <v>2497</v>
      </c>
      <c r="E20" s="3">
        <v>16</v>
      </c>
      <c r="F20" s="230">
        <f t="shared" si="0"/>
        <v>0.186</v>
      </c>
      <c r="G20" s="232">
        <f>+F20</f>
        <v>0.186</v>
      </c>
      <c r="H20" s="231">
        <v>130</v>
      </c>
      <c r="I20" s="201">
        <f>+(C20-D20+S19)*1000/H20</f>
        <v>23.076923076923077</v>
      </c>
      <c r="J20" s="16">
        <f t="shared" si="1"/>
        <v>0.78774096432240581</v>
      </c>
      <c r="K20" s="239">
        <v>0.75</v>
      </c>
      <c r="L20" s="5"/>
      <c r="M20" s="25"/>
      <c r="N20" s="16"/>
      <c r="O20" s="16"/>
      <c r="P20" s="33"/>
      <c r="Q20" s="36"/>
      <c r="R20" s="32"/>
      <c r="S20" s="70"/>
      <c r="T20" s="6"/>
    </row>
    <row r="21" spans="1:20" ht="16.2" thickBot="1">
      <c r="A21" s="72" t="s">
        <v>41</v>
      </c>
      <c r="B21" s="35" t="s">
        <v>129</v>
      </c>
      <c r="C21" s="30">
        <f>+C20</f>
        <v>2500</v>
      </c>
      <c r="D21" s="35">
        <v>2500</v>
      </c>
      <c r="E21" s="3">
        <v>0</v>
      </c>
      <c r="F21" s="230">
        <f t="shared" si="0"/>
        <v>0</v>
      </c>
      <c r="G21" s="232">
        <f>+F21+G22</f>
        <v>0.78</v>
      </c>
      <c r="H21" s="231">
        <v>1</v>
      </c>
      <c r="I21" s="201">
        <f>+(C21-D21+S19)*1000/H21</f>
        <v>0</v>
      </c>
      <c r="J21" s="16" t="e">
        <f t="shared" si="1"/>
        <v>#DIV/0!</v>
      </c>
      <c r="K21" s="239">
        <v>1</v>
      </c>
      <c r="L21" s="204"/>
      <c r="M21" s="205"/>
      <c r="N21" s="203"/>
      <c r="O21" s="203"/>
      <c r="P21" s="206"/>
      <c r="Q21" s="207"/>
      <c r="R21" s="208"/>
      <c r="S21" s="209"/>
      <c r="T21" s="6"/>
    </row>
    <row r="22" spans="1:20" ht="16.2" thickBot="1">
      <c r="A22" s="71" t="s">
        <v>129</v>
      </c>
      <c r="B22" s="34" t="s">
        <v>35</v>
      </c>
      <c r="C22" s="29">
        <f>+D21</f>
        <v>2500</v>
      </c>
      <c r="D22" s="34">
        <v>2480</v>
      </c>
      <c r="E22" s="3">
        <f>20+10</f>
        <v>30</v>
      </c>
      <c r="F22" s="230">
        <f t="shared" si="0"/>
        <v>0.34899999999999998</v>
      </c>
      <c r="G22" s="232">
        <f>+F22+G23+G24</f>
        <v>0.78</v>
      </c>
      <c r="H22" s="231">
        <v>90</v>
      </c>
      <c r="I22" s="201">
        <f>+(C22-D22+0)*1000/H22</f>
        <v>222.22222222222223</v>
      </c>
      <c r="J22" s="16">
        <f t="shared" si="1"/>
        <v>0.85339212927637986</v>
      </c>
      <c r="K22" s="239">
        <v>1</v>
      </c>
      <c r="L22" s="204"/>
      <c r="M22" s="205"/>
      <c r="N22" s="203"/>
      <c r="O22" s="203"/>
      <c r="P22" s="206"/>
      <c r="Q22" s="207"/>
      <c r="R22" s="208"/>
      <c r="S22" s="209"/>
      <c r="T22" s="6"/>
    </row>
    <row r="23" spans="1:20" ht="16.2" thickBot="1">
      <c r="A23" s="69" t="s">
        <v>35</v>
      </c>
      <c r="B23" s="34" t="s">
        <v>37</v>
      </c>
      <c r="C23" s="29">
        <f>+D22</f>
        <v>2480</v>
      </c>
      <c r="D23" s="34">
        <v>2463</v>
      </c>
      <c r="E23" s="3">
        <f>10+2</f>
        <v>12</v>
      </c>
      <c r="F23" s="230">
        <f t="shared" si="0"/>
        <v>0.14000000000000001</v>
      </c>
      <c r="G23" s="232">
        <f>+F23</f>
        <v>0.14000000000000001</v>
      </c>
      <c r="H23" s="231">
        <v>40</v>
      </c>
      <c r="I23" s="201">
        <f>+(C23-D23+S22)*1000/H23</f>
        <v>425</v>
      </c>
      <c r="J23" s="16">
        <f t="shared" si="1"/>
        <v>0.38876919676561578</v>
      </c>
      <c r="K23" s="239">
        <v>0.75</v>
      </c>
      <c r="L23" s="204"/>
      <c r="M23" s="205"/>
      <c r="N23" s="203"/>
      <c r="O23" s="203"/>
      <c r="P23" s="206"/>
      <c r="Q23" s="207"/>
      <c r="R23" s="208"/>
      <c r="S23" s="209"/>
      <c r="T23" s="6"/>
    </row>
    <row r="24" spans="1:20" ht="16.2" thickBot="1">
      <c r="A24" s="73" t="s">
        <v>35</v>
      </c>
      <c r="B24" s="74" t="s">
        <v>34</v>
      </c>
      <c r="C24" s="29">
        <f>+C23</f>
        <v>2480</v>
      </c>
      <c r="D24" s="34">
        <v>2467</v>
      </c>
      <c r="E24" s="3">
        <f>15+10</f>
        <v>25</v>
      </c>
      <c r="F24" s="230">
        <f>ROUND(E24*$Q$8*$I$8,3)</f>
        <v>0.29099999999999998</v>
      </c>
      <c r="G24" s="234">
        <f>+F24</f>
        <v>0.29099999999999998</v>
      </c>
      <c r="H24" s="231">
        <v>115</v>
      </c>
      <c r="I24" s="201">
        <f>+(C24-D24+S22)*1000/H24</f>
        <v>113.04347826086956</v>
      </c>
      <c r="J24" s="16">
        <f t="shared" si="1"/>
        <v>0.67391528554012847</v>
      </c>
      <c r="K24" s="239">
        <v>0.75</v>
      </c>
      <c r="L24" s="210"/>
      <c r="M24" s="211"/>
      <c r="N24" s="212"/>
      <c r="O24" s="212"/>
      <c r="P24" s="213"/>
      <c r="Q24" s="214"/>
      <c r="R24" s="215"/>
      <c r="S24" s="216"/>
      <c r="T24" s="6"/>
    </row>
    <row r="25" spans="1:20" ht="15.6">
      <c r="A25" s="54"/>
      <c r="B25" s="55"/>
      <c r="C25" s="56"/>
      <c r="D25" s="55"/>
      <c r="E25" s="57"/>
      <c r="F25" s="57"/>
      <c r="G25" s="77"/>
      <c r="H25" s="59"/>
      <c r="I25" s="59"/>
      <c r="J25" s="59"/>
      <c r="K25" s="240"/>
      <c r="L25" s="5"/>
      <c r="M25" s="59"/>
      <c r="N25" s="60"/>
      <c r="O25" s="58"/>
      <c r="P25" s="61"/>
      <c r="Q25" s="62"/>
      <c r="R25" s="63"/>
      <c r="S25" s="64"/>
      <c r="T25" s="6"/>
    </row>
    <row r="26" spans="1:20" ht="15.6">
      <c r="A26" s="31"/>
      <c r="B26" s="34"/>
      <c r="C26" s="29"/>
      <c r="D26" s="34"/>
      <c r="E26" s="3"/>
      <c r="F26" s="3"/>
      <c r="G26" s="75"/>
      <c r="H26" s="16"/>
      <c r="I26" s="16"/>
      <c r="J26" s="16"/>
      <c r="K26" s="241"/>
      <c r="L26" s="5"/>
      <c r="M26" s="16"/>
      <c r="N26" s="18"/>
      <c r="O26" s="15"/>
      <c r="P26" s="33"/>
      <c r="Q26" s="36"/>
      <c r="R26" s="32"/>
      <c r="S26" s="37"/>
      <c r="T26" s="6"/>
    </row>
    <row r="27" spans="1:20" ht="15.6">
      <c r="A27" s="31"/>
      <c r="B27" s="34"/>
      <c r="C27" s="29"/>
      <c r="D27" s="34"/>
      <c r="E27" s="3"/>
      <c r="F27" s="3"/>
      <c r="G27" s="75"/>
      <c r="H27" s="16"/>
      <c r="I27" s="16"/>
      <c r="J27" s="16"/>
      <c r="K27" s="241"/>
      <c r="L27" s="5"/>
      <c r="M27" s="16"/>
      <c r="N27" s="18"/>
      <c r="O27" s="15"/>
      <c r="P27" s="33"/>
      <c r="Q27" s="36"/>
      <c r="R27" s="32"/>
      <c r="S27" s="37"/>
      <c r="T27" s="6"/>
    </row>
    <row r="28" spans="1:20" ht="15.6">
      <c r="A28" s="31"/>
      <c r="B28" s="34"/>
      <c r="C28" s="29"/>
      <c r="D28" s="34"/>
      <c r="E28" s="3"/>
      <c r="F28" s="3"/>
      <c r="G28" s="75"/>
      <c r="H28" s="16"/>
      <c r="I28" s="16"/>
      <c r="J28" s="16"/>
      <c r="K28" s="241"/>
      <c r="L28" s="5"/>
      <c r="M28" s="16"/>
      <c r="N28" s="18"/>
      <c r="O28" s="15"/>
      <c r="P28" s="33"/>
      <c r="Q28" s="36"/>
      <c r="R28" s="32"/>
      <c r="S28" s="37"/>
      <c r="T28" s="6"/>
    </row>
    <row r="29" spans="1:20" ht="15.6">
      <c r="A29" s="31"/>
      <c r="B29" s="34"/>
      <c r="C29" s="29"/>
      <c r="D29" s="34"/>
      <c r="E29" s="3"/>
      <c r="F29" s="3"/>
      <c r="G29" s="76"/>
      <c r="H29" s="16"/>
      <c r="I29" s="16"/>
      <c r="J29" s="16"/>
      <c r="K29" s="241"/>
      <c r="L29" s="5"/>
      <c r="M29" s="16"/>
      <c r="N29" s="18"/>
      <c r="O29" s="15"/>
      <c r="P29" s="33"/>
      <c r="Q29" s="36"/>
      <c r="R29" s="32"/>
      <c r="S29" s="37"/>
      <c r="T29" s="6"/>
    </row>
    <row r="30" spans="1:20" ht="15.6">
      <c r="A30" s="31"/>
      <c r="B30" s="34"/>
      <c r="C30" s="29"/>
      <c r="D30" s="34"/>
      <c r="E30" s="3"/>
      <c r="F30" s="3"/>
      <c r="G30" s="76"/>
      <c r="H30" s="16"/>
      <c r="I30" s="16"/>
      <c r="J30" s="16"/>
      <c r="K30" s="241"/>
      <c r="L30" s="5"/>
      <c r="M30" s="16"/>
      <c r="N30" s="18"/>
      <c r="O30" s="15"/>
      <c r="P30" s="33"/>
      <c r="Q30" s="36"/>
      <c r="R30" s="32"/>
      <c r="S30" s="37"/>
      <c r="T30" s="6"/>
    </row>
    <row r="31" spans="1:20" ht="15.6">
      <c r="A31" s="31"/>
      <c r="B31" s="34"/>
      <c r="C31" s="29"/>
      <c r="D31" s="34"/>
      <c r="E31" s="3"/>
      <c r="F31" s="3"/>
      <c r="G31" s="76"/>
      <c r="H31" s="16"/>
      <c r="I31" s="16"/>
      <c r="J31" s="16"/>
      <c r="K31" s="241"/>
      <c r="L31" s="5"/>
      <c r="M31" s="16"/>
      <c r="N31" s="18"/>
      <c r="O31" s="15"/>
      <c r="P31" s="33"/>
      <c r="Q31" s="36"/>
      <c r="R31" s="32"/>
      <c r="S31" s="37"/>
      <c r="T31" s="6"/>
    </row>
    <row r="32" spans="1:20" ht="15.6">
      <c r="A32" s="31"/>
      <c r="B32" s="34"/>
      <c r="C32" s="29"/>
      <c r="D32" s="34"/>
      <c r="E32" s="3"/>
      <c r="F32" s="3"/>
      <c r="G32" s="76"/>
      <c r="H32" s="16"/>
      <c r="I32" s="16"/>
      <c r="J32" s="16"/>
      <c r="K32" s="241"/>
      <c r="L32" s="5"/>
      <c r="M32" s="16"/>
      <c r="N32" s="18"/>
      <c r="O32" s="15"/>
      <c r="P32" s="33"/>
      <c r="Q32" s="36"/>
      <c r="R32" s="32"/>
      <c r="S32" s="37"/>
      <c r="T32" s="6"/>
    </row>
    <row r="33" spans="1:32" ht="15.6">
      <c r="A33" s="31"/>
      <c r="B33" s="34"/>
      <c r="C33" s="29"/>
      <c r="D33" s="34"/>
      <c r="E33" s="3"/>
      <c r="F33" s="3"/>
      <c r="G33" s="75"/>
      <c r="H33" s="16"/>
      <c r="I33" s="16"/>
      <c r="J33" s="16"/>
      <c r="K33" s="241"/>
      <c r="L33" s="5"/>
      <c r="M33" s="16"/>
      <c r="N33" s="18"/>
      <c r="O33" s="15"/>
      <c r="P33" s="33"/>
      <c r="Q33" s="36"/>
      <c r="R33" s="32"/>
      <c r="S33" s="37"/>
      <c r="T33" s="6"/>
    </row>
    <row r="34" spans="1:32" ht="15.6">
      <c r="A34" s="31"/>
      <c r="B34" s="34"/>
      <c r="C34" s="29"/>
      <c r="D34" s="34"/>
      <c r="E34" s="3"/>
      <c r="F34" s="3"/>
      <c r="G34" s="75"/>
      <c r="H34" s="16"/>
      <c r="I34" s="16"/>
      <c r="J34" s="16"/>
      <c r="K34" s="241"/>
      <c r="L34" s="5"/>
      <c r="M34" s="16"/>
      <c r="N34" s="18"/>
      <c r="O34" s="15"/>
      <c r="P34" s="33"/>
      <c r="Q34" s="36"/>
      <c r="R34" s="32"/>
      <c r="S34" s="37"/>
      <c r="T34" s="6"/>
    </row>
    <row r="35" spans="1:32" ht="15.6">
      <c r="A35" s="31"/>
      <c r="B35" s="34"/>
      <c r="C35" s="29"/>
      <c r="D35" s="34"/>
      <c r="E35" s="3"/>
      <c r="F35" s="3"/>
      <c r="G35" s="76"/>
      <c r="H35" s="16"/>
      <c r="I35" s="16"/>
      <c r="J35" s="16"/>
      <c r="K35" s="241"/>
      <c r="L35" s="5"/>
      <c r="M35" s="16"/>
      <c r="N35" s="18"/>
      <c r="O35" s="15"/>
      <c r="P35" s="33"/>
      <c r="Q35" s="36"/>
      <c r="R35" s="32"/>
      <c r="S35" s="37"/>
      <c r="T35" s="6"/>
    </row>
    <row r="36" spans="1:32" ht="15.6">
      <c r="A36" s="31"/>
      <c r="B36" s="34"/>
      <c r="C36" s="29"/>
      <c r="D36" s="34"/>
      <c r="E36" s="3"/>
      <c r="F36" s="3"/>
      <c r="G36" s="76"/>
      <c r="H36" s="16"/>
      <c r="I36" s="16"/>
      <c r="J36" s="16"/>
      <c r="K36" s="241"/>
      <c r="L36" s="5"/>
      <c r="M36" s="16"/>
      <c r="N36" s="18"/>
      <c r="O36" s="15"/>
      <c r="P36" s="33"/>
      <c r="Q36" s="36"/>
      <c r="R36" s="32"/>
      <c r="S36" s="37"/>
      <c r="T36" s="6"/>
    </row>
    <row r="37" spans="1:32" ht="15.6">
      <c r="A37" s="31"/>
      <c r="B37" s="34"/>
      <c r="C37" s="29"/>
      <c r="D37" s="34"/>
      <c r="E37" s="3"/>
      <c r="F37" s="3"/>
      <c r="G37" s="75"/>
      <c r="H37" s="16"/>
      <c r="I37" s="16"/>
      <c r="J37" s="16"/>
      <c r="K37" s="241"/>
      <c r="L37" s="5"/>
      <c r="M37" s="16"/>
      <c r="N37" s="18"/>
      <c r="O37" s="15"/>
      <c r="P37" s="33"/>
      <c r="Q37" s="36"/>
      <c r="R37" s="32"/>
      <c r="S37" s="37"/>
      <c r="T37" s="6"/>
      <c r="AC37">
        <f t="shared" ref="AC37:AC49" si="2">IF(K37=1,H37,0)</f>
        <v>0</v>
      </c>
      <c r="AD37">
        <f t="shared" ref="AD37:AD49" si="3">IF(K37=1.5,H37,0)</f>
        <v>0</v>
      </c>
      <c r="AE37">
        <f t="shared" ref="AE37:AE49" si="4">IF(K37=0.75,H37,0)</f>
        <v>0</v>
      </c>
      <c r="AF37">
        <f t="shared" ref="AF37:AF49" si="5">IF(K37=0.5,H37,0)</f>
        <v>0</v>
      </c>
    </row>
    <row r="38" spans="1:32" ht="15.6">
      <c r="A38" s="1"/>
      <c r="B38" s="2"/>
      <c r="C38" s="2"/>
      <c r="D38" s="2"/>
      <c r="E38" s="3"/>
      <c r="F38" s="3"/>
      <c r="G38" s="3"/>
      <c r="H38" s="16"/>
      <c r="I38" s="16"/>
      <c r="J38" s="16"/>
      <c r="K38" s="241"/>
      <c r="L38" s="5"/>
      <c r="M38" s="16"/>
      <c r="N38" s="18"/>
      <c r="O38" s="15"/>
      <c r="P38" s="19"/>
      <c r="Q38" s="20"/>
      <c r="R38" s="21"/>
      <c r="S38" s="22"/>
      <c r="T38" s="6"/>
      <c r="V38" s="7"/>
      <c r="AC38">
        <f t="shared" si="2"/>
        <v>0</v>
      </c>
      <c r="AD38">
        <f t="shared" si="3"/>
        <v>0</v>
      </c>
      <c r="AE38">
        <f t="shared" si="4"/>
        <v>0</v>
      </c>
      <c r="AF38">
        <f t="shared" si="5"/>
        <v>0</v>
      </c>
    </row>
    <row r="39" spans="1:32" ht="15.6">
      <c r="A39" s="1"/>
      <c r="B39" s="2"/>
      <c r="C39" s="2"/>
      <c r="D39" s="2"/>
      <c r="E39" s="3"/>
      <c r="F39" s="3"/>
      <c r="G39" s="3"/>
      <c r="H39" s="16"/>
      <c r="I39" s="16"/>
      <c r="J39" s="16"/>
      <c r="K39" s="241"/>
      <c r="L39" s="5"/>
      <c r="M39" s="16"/>
      <c r="N39" s="18"/>
      <c r="O39" s="15"/>
      <c r="P39" s="19"/>
      <c r="Q39" s="20"/>
      <c r="R39" s="21"/>
      <c r="S39" s="22"/>
      <c r="T39" s="6"/>
      <c r="V39" s="7"/>
      <c r="AC39">
        <f t="shared" si="2"/>
        <v>0</v>
      </c>
      <c r="AD39">
        <f t="shared" si="3"/>
        <v>0</v>
      </c>
      <c r="AE39">
        <f t="shared" si="4"/>
        <v>0</v>
      </c>
      <c r="AF39">
        <f t="shared" si="5"/>
        <v>0</v>
      </c>
    </row>
    <row r="40" spans="1:32" ht="15.6">
      <c r="A40" s="1"/>
      <c r="B40" s="2"/>
      <c r="C40" s="2"/>
      <c r="D40" s="2"/>
      <c r="E40" s="3"/>
      <c r="F40" s="3"/>
      <c r="G40" s="3"/>
      <c r="H40" s="16"/>
      <c r="I40" s="16"/>
      <c r="J40" s="16"/>
      <c r="K40" s="241"/>
      <c r="L40" s="5"/>
      <c r="M40" s="16"/>
      <c r="N40" s="18"/>
      <c r="O40" s="15"/>
      <c r="P40" s="19"/>
      <c r="Q40" s="20"/>
      <c r="R40" s="21"/>
      <c r="S40" s="22"/>
      <c r="T40" s="6"/>
      <c r="V40" s="7"/>
      <c r="AC40">
        <f t="shared" si="2"/>
        <v>0</v>
      </c>
      <c r="AD40">
        <f t="shared" si="3"/>
        <v>0</v>
      </c>
      <c r="AE40">
        <f t="shared" si="4"/>
        <v>0</v>
      </c>
      <c r="AF40">
        <f t="shared" si="5"/>
        <v>0</v>
      </c>
    </row>
    <row r="41" spans="1:32" ht="15.6">
      <c r="A41" s="4"/>
      <c r="B41" s="23"/>
      <c r="C41" s="23"/>
      <c r="D41" s="23"/>
      <c r="E41" s="3"/>
      <c r="F41" s="3"/>
      <c r="G41" s="3"/>
      <c r="H41" s="16"/>
      <c r="I41" s="16"/>
      <c r="J41" s="16"/>
      <c r="K41" s="241"/>
      <c r="L41" s="5"/>
      <c r="M41" s="16"/>
      <c r="N41" s="18"/>
      <c r="O41" s="15"/>
      <c r="P41" s="19"/>
      <c r="Q41" s="20"/>
      <c r="R41" s="21"/>
      <c r="S41" s="22"/>
      <c r="T41" s="6"/>
      <c r="V41" s="7"/>
      <c r="AC41">
        <f t="shared" si="2"/>
        <v>0</v>
      </c>
      <c r="AD41">
        <f t="shared" si="3"/>
        <v>0</v>
      </c>
      <c r="AE41">
        <f t="shared" si="4"/>
        <v>0</v>
      </c>
      <c r="AF41">
        <f t="shared" si="5"/>
        <v>0</v>
      </c>
    </row>
    <row r="42" spans="1:32" ht="15.6">
      <c r="A42" s="1"/>
      <c r="B42" s="2"/>
      <c r="C42" s="2"/>
      <c r="D42" s="2"/>
      <c r="E42" s="3"/>
      <c r="F42" s="3"/>
      <c r="G42" s="3"/>
      <c r="H42" s="16"/>
      <c r="I42" s="16"/>
      <c r="J42" s="16"/>
      <c r="K42" s="241"/>
      <c r="L42" s="5"/>
      <c r="M42" s="16"/>
      <c r="N42" s="18"/>
      <c r="O42" s="15"/>
      <c r="P42" s="19"/>
      <c r="Q42" s="20"/>
      <c r="R42" s="21"/>
      <c r="S42" s="22"/>
      <c r="T42" s="6"/>
      <c r="V42" s="7"/>
      <c r="AC42">
        <f t="shared" si="2"/>
        <v>0</v>
      </c>
      <c r="AD42">
        <f t="shared" si="3"/>
        <v>0</v>
      </c>
      <c r="AE42">
        <f t="shared" si="4"/>
        <v>0</v>
      </c>
      <c r="AF42">
        <f t="shared" si="5"/>
        <v>0</v>
      </c>
    </row>
    <row r="43" spans="1:32" ht="15.6">
      <c r="A43" s="1"/>
      <c r="B43" s="2"/>
      <c r="C43" s="2"/>
      <c r="D43" s="2"/>
      <c r="E43" s="3"/>
      <c r="F43" s="3"/>
      <c r="G43" s="15"/>
      <c r="H43" s="16"/>
      <c r="I43" s="16"/>
      <c r="J43" s="16"/>
      <c r="K43" s="241"/>
      <c r="L43" s="5"/>
      <c r="M43" s="16"/>
      <c r="N43" s="18"/>
      <c r="O43" s="15"/>
      <c r="P43" s="19"/>
      <c r="Q43" s="20"/>
      <c r="R43" s="21"/>
      <c r="S43" s="22"/>
      <c r="V43" s="7"/>
      <c r="AC43">
        <f t="shared" si="2"/>
        <v>0</v>
      </c>
      <c r="AD43">
        <f t="shared" si="3"/>
        <v>0</v>
      </c>
      <c r="AE43">
        <f t="shared" si="4"/>
        <v>0</v>
      </c>
      <c r="AF43">
        <f t="shared" si="5"/>
        <v>0</v>
      </c>
    </row>
    <row r="44" spans="1:32" ht="15.6">
      <c r="A44" s="1"/>
      <c r="B44" s="2"/>
      <c r="C44" s="2"/>
      <c r="D44" s="2"/>
      <c r="E44" s="3"/>
      <c r="F44" s="3"/>
      <c r="G44" s="3"/>
      <c r="H44" s="16"/>
      <c r="I44" s="16"/>
      <c r="J44" s="16"/>
      <c r="K44" s="241"/>
      <c r="L44" s="5"/>
      <c r="M44" s="16"/>
      <c r="N44" s="18"/>
      <c r="O44" s="15"/>
      <c r="P44" s="19"/>
      <c r="Q44" s="20"/>
      <c r="R44" s="21"/>
      <c r="S44" s="22"/>
      <c r="AC44">
        <f t="shared" si="2"/>
        <v>0</v>
      </c>
      <c r="AD44">
        <f t="shared" si="3"/>
        <v>0</v>
      </c>
      <c r="AE44">
        <f t="shared" si="4"/>
        <v>0</v>
      </c>
      <c r="AF44">
        <f t="shared" si="5"/>
        <v>0</v>
      </c>
    </row>
    <row r="45" spans="1:32" ht="15.6">
      <c r="A45" s="1"/>
      <c r="B45" s="2"/>
      <c r="C45" s="2"/>
      <c r="D45" s="2"/>
      <c r="E45" s="3"/>
      <c r="F45" s="3"/>
      <c r="G45" s="15"/>
      <c r="H45" s="16"/>
      <c r="I45" s="16"/>
      <c r="J45" s="16"/>
      <c r="K45" s="241"/>
      <c r="L45" s="5"/>
      <c r="M45" s="16"/>
      <c r="N45" s="18"/>
      <c r="O45" s="15"/>
      <c r="P45" s="19"/>
      <c r="Q45" s="20"/>
      <c r="R45" s="21"/>
      <c r="S45" s="22"/>
      <c r="AC45">
        <f t="shared" si="2"/>
        <v>0</v>
      </c>
      <c r="AD45">
        <f t="shared" si="3"/>
        <v>0</v>
      </c>
      <c r="AE45">
        <f t="shared" si="4"/>
        <v>0</v>
      </c>
      <c r="AF45">
        <f t="shared" si="5"/>
        <v>0</v>
      </c>
    </row>
    <row r="46" spans="1:32" ht="15.6">
      <c r="A46" s="1"/>
      <c r="B46" s="2"/>
      <c r="C46" s="2"/>
      <c r="D46" s="2"/>
      <c r="E46" s="3"/>
      <c r="F46" s="3"/>
      <c r="G46" s="3"/>
      <c r="H46" s="16"/>
      <c r="I46" s="16"/>
      <c r="J46" s="16"/>
      <c r="K46" s="241"/>
      <c r="L46" s="5"/>
      <c r="M46" s="16"/>
      <c r="N46" s="18"/>
      <c r="O46" s="15"/>
      <c r="P46" s="19"/>
      <c r="Q46" s="20"/>
      <c r="R46" s="21"/>
      <c r="S46" s="22"/>
      <c r="AC46">
        <f t="shared" si="2"/>
        <v>0</v>
      </c>
      <c r="AD46">
        <f t="shared" si="3"/>
        <v>0</v>
      </c>
      <c r="AE46">
        <f t="shared" si="4"/>
        <v>0</v>
      </c>
      <c r="AF46">
        <f t="shared" si="5"/>
        <v>0</v>
      </c>
    </row>
    <row r="47" spans="1:32" ht="15.6">
      <c r="A47" s="1"/>
      <c r="B47" s="2"/>
      <c r="C47" s="2"/>
      <c r="D47" s="2"/>
      <c r="E47" s="3"/>
      <c r="F47" s="3"/>
      <c r="G47" s="3"/>
      <c r="H47" s="16"/>
      <c r="I47" s="16"/>
      <c r="J47" s="16"/>
      <c r="K47" s="241"/>
      <c r="L47" s="5"/>
      <c r="M47" s="16"/>
      <c r="N47" s="18"/>
      <c r="O47" s="15"/>
      <c r="P47" s="19"/>
      <c r="Q47" s="20"/>
      <c r="R47" s="21"/>
      <c r="S47" s="22"/>
      <c r="AC47">
        <f t="shared" si="2"/>
        <v>0</v>
      </c>
      <c r="AD47">
        <f t="shared" si="3"/>
        <v>0</v>
      </c>
      <c r="AE47">
        <f t="shared" si="4"/>
        <v>0</v>
      </c>
      <c r="AF47">
        <f t="shared" si="5"/>
        <v>0</v>
      </c>
    </row>
    <row r="48" spans="1:32" ht="15.6">
      <c r="A48" s="1"/>
      <c r="B48" s="2"/>
      <c r="C48" s="2"/>
      <c r="D48" s="2"/>
      <c r="E48" s="3"/>
      <c r="F48" s="3"/>
      <c r="G48" s="3"/>
      <c r="H48" s="16"/>
      <c r="I48" s="16"/>
      <c r="J48" s="16"/>
      <c r="K48" s="241"/>
      <c r="L48" s="5"/>
      <c r="M48" s="16"/>
      <c r="N48" s="18"/>
      <c r="O48" s="15"/>
      <c r="P48" s="19"/>
      <c r="Q48" s="20"/>
      <c r="R48" s="21"/>
      <c r="S48" s="22"/>
      <c r="AC48">
        <f t="shared" si="2"/>
        <v>0</v>
      </c>
      <c r="AD48">
        <f t="shared" si="3"/>
        <v>0</v>
      </c>
      <c r="AE48">
        <f t="shared" si="4"/>
        <v>0</v>
      </c>
      <c r="AF48">
        <f t="shared" si="5"/>
        <v>0</v>
      </c>
    </row>
    <row r="49" spans="1:32" ht="15.6">
      <c r="A49" s="1"/>
      <c r="B49" s="2"/>
      <c r="C49" s="2"/>
      <c r="D49" s="2"/>
      <c r="E49" s="3"/>
      <c r="F49" s="3"/>
      <c r="G49" s="3"/>
      <c r="H49" s="16"/>
      <c r="I49" s="16"/>
      <c r="J49" s="16"/>
      <c r="K49" s="241"/>
      <c r="L49" s="5"/>
      <c r="M49" s="16"/>
      <c r="N49" s="18"/>
      <c r="O49" s="15"/>
      <c r="P49" s="19"/>
      <c r="Q49" s="20"/>
      <c r="R49" s="21"/>
      <c r="S49" s="22"/>
      <c r="AC49">
        <f t="shared" si="2"/>
        <v>0</v>
      </c>
      <c r="AD49">
        <f t="shared" si="3"/>
        <v>0</v>
      </c>
      <c r="AE49">
        <f t="shared" si="4"/>
        <v>0</v>
      </c>
      <c r="AF49">
        <f t="shared" si="5"/>
        <v>0</v>
      </c>
    </row>
    <row r="51" spans="1:32">
      <c r="X51">
        <f>SUM(AC13:AC49)</f>
        <v>0</v>
      </c>
      <c r="Y51">
        <f>SUM(AD13:AD49)</f>
        <v>0</v>
      </c>
      <c r="Z51">
        <f>SUM(AE13:AE49)</f>
        <v>0</v>
      </c>
      <c r="AA51">
        <f>SUM(AF13:AF49)</f>
        <v>0</v>
      </c>
    </row>
    <row r="52" spans="1:32">
      <c r="X52">
        <f>X51/5.03</f>
        <v>0</v>
      </c>
      <c r="Y52">
        <f t="shared" ref="Y52:AA52" si="6">Y51/5.03</f>
        <v>0</v>
      </c>
      <c r="Z52">
        <f t="shared" si="6"/>
        <v>0</v>
      </c>
      <c r="AA52">
        <f t="shared" si="6"/>
        <v>0</v>
      </c>
    </row>
  </sheetData>
  <mergeCells count="4">
    <mergeCell ref="A2:S2"/>
    <mergeCell ref="I8:J8"/>
    <mergeCell ref="P11:Q11"/>
    <mergeCell ref="A12:B12"/>
  </mergeCells>
  <pageMargins left="0.75" right="0.47244094488188981" top="0.74803149606299213" bottom="0.74803149606299213" header="0.31496062992125984" footer="0.31496062992125984"/>
  <pageSetup paperSize="9" scale="74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Verifica red EN PULG </vt:lpstr>
      <vt:lpstr>EJEMPLO 01 EN MM</vt:lpstr>
      <vt:lpstr>EJEMPLO 01 desarrol</vt:lpstr>
      <vt:lpstr>'EJEMPLO 01 desarrol'!Área_de_impresión</vt:lpstr>
      <vt:lpstr>'EJEMPLO 01 EN MM'!Área_de_impresión</vt:lpstr>
      <vt:lpstr>'Verifica red EN PULG 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MIGUEL ANGEL RIVERA OSPINA</cp:lastModifiedBy>
  <cp:lastPrinted>2020-09-15T21:24:52Z</cp:lastPrinted>
  <dcterms:created xsi:type="dcterms:W3CDTF">2014-08-27T15:15:01Z</dcterms:created>
  <dcterms:modified xsi:type="dcterms:W3CDTF">2026-01-31T23:52:42Z</dcterms:modified>
</cp:coreProperties>
</file>